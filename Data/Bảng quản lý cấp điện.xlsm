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Điện\Đóng tiền điện\"/>
    </mc:Choice>
  </mc:AlternateContent>
  <xr:revisionPtr revIDLastSave="0" documentId="13_ncr:1_{D18F707A-2CCE-4F84-9768-ACA38E61FEC7}" xr6:coauthVersionLast="47" xr6:coauthVersionMax="47" xr10:uidLastSave="{00000000-0000-0000-0000-000000000000}"/>
  <bookViews>
    <workbookView xWindow="-120" yWindow="-120" windowWidth="29040" windowHeight="15720" xr2:uid="{DA90F287-D1D4-46C2-A811-857EA8E33FA1}"/>
  </bookViews>
  <sheets>
    <sheet name="Sheet" sheetId="2" r:id="rId1"/>
  </sheets>
  <definedNames>
    <definedName name="_xleta.SUM" hidden="1" xlm="1">#NAME?</definedName>
    <definedName name="_xleta.T" hidden="1" xlm="1">#NAME?</definedName>
    <definedName name="_xlnm.Print_Area" localSheetId="0">Sheet!$A$1:$AA$322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0" i="2" l="1"/>
  <c r="D221" i="2"/>
  <c r="D216" i="2"/>
  <c r="D205" i="2"/>
  <c r="D224" i="2" l="1"/>
  <c r="C224" i="2"/>
  <c r="D121" i="2"/>
  <c r="D116" i="2"/>
  <c r="D119" i="2"/>
  <c r="D117" i="2"/>
  <c r="D120" i="2"/>
  <c r="D122" i="2"/>
  <c r="D160" i="2"/>
  <c r="D161" i="2"/>
  <c r="D162" i="2"/>
  <c r="D213" i="2"/>
  <c r="D202" i="2"/>
  <c r="D214" i="2"/>
  <c r="D215" i="2"/>
  <c r="D217" i="2"/>
  <c r="D218" i="2"/>
  <c r="D219" i="2"/>
  <c r="D220" i="2"/>
  <c r="D222" i="2"/>
  <c r="D163" i="2"/>
  <c r="D164" i="2"/>
  <c r="D171" i="2"/>
  <c r="D165" i="2"/>
  <c r="D166" i="2"/>
  <c r="D167" i="2"/>
  <c r="D168" i="2"/>
  <c r="D169" i="2"/>
  <c r="D170" i="2"/>
  <c r="D172" i="2"/>
  <c r="D173" i="2"/>
  <c r="D174" i="2"/>
  <c r="D175" i="2"/>
  <c r="D176" i="2"/>
  <c r="D177" i="2"/>
  <c r="D159" i="2"/>
  <c r="D178" i="2"/>
  <c r="D179" i="2"/>
  <c r="D180" i="2"/>
  <c r="D181" i="2"/>
  <c r="D212" i="2"/>
  <c r="D211" i="2"/>
  <c r="D210" i="2"/>
  <c r="D209" i="2"/>
  <c r="D208" i="2"/>
  <c r="D207" i="2"/>
  <c r="D206" i="2"/>
  <c r="D158" i="2"/>
  <c r="D157" i="2"/>
  <c r="D204" i="2"/>
  <c r="D156" i="2"/>
  <c r="D154" i="2"/>
  <c r="D153" i="2"/>
  <c r="D152" i="2"/>
  <c r="D203" i="2"/>
  <c r="D151" i="2"/>
  <c r="D150" i="2"/>
  <c r="D149" i="2"/>
  <c r="D148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2" i="2"/>
  <c r="D113" i="2"/>
  <c r="D108" i="2"/>
  <c r="D146" i="2"/>
  <c r="D147" i="2"/>
  <c r="D144" i="2"/>
  <c r="D145" i="2"/>
  <c r="D143" i="2"/>
  <c r="D142" i="2"/>
  <c r="D140" i="2"/>
  <c r="D141" i="2"/>
  <c r="D138" i="2"/>
  <c r="D139" i="2"/>
  <c r="D137" i="2"/>
  <c r="D136" i="2"/>
  <c r="D135" i="2"/>
  <c r="D134" i="2"/>
  <c r="D133" i="2"/>
  <c r="D132" i="2"/>
  <c r="D130" i="2"/>
  <c r="D131" i="2"/>
  <c r="D129" i="2"/>
  <c r="D128" i="2"/>
  <c r="D126" i="2"/>
  <c r="D127" i="2"/>
  <c r="D125" i="2"/>
  <c r="D124" i="2"/>
  <c r="D123" i="2"/>
  <c r="D102" i="2"/>
  <c r="D101" i="2"/>
  <c r="D99" i="2"/>
  <c r="D97" i="2"/>
  <c r="D86" i="2"/>
  <c r="D85" i="2"/>
  <c r="D80" i="2"/>
  <c r="D45" i="2"/>
  <c r="C32" i="2"/>
  <c r="C30" i="2"/>
  <c r="C29" i="2"/>
  <c r="C28" i="2"/>
  <c r="C27" i="2"/>
  <c r="C26" i="2"/>
  <c r="C25" i="2"/>
  <c r="C24" i="2"/>
  <c r="C23" i="2"/>
  <c r="C12" i="2"/>
  <c r="C14" i="2"/>
  <c r="C13" i="2"/>
  <c r="C15" i="2"/>
  <c r="C11" i="2"/>
  <c r="C10" i="2"/>
  <c r="C9" i="2"/>
  <c r="C8" i="2"/>
  <c r="C7" i="2"/>
  <c r="C6" i="2"/>
  <c r="C22" i="2"/>
  <c r="C21" i="2"/>
  <c r="C122" i="2"/>
  <c r="C10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tc={2B4B1216-682B-44CF-9A8F-92BDCDEC85C9}</author>
    <author>tc={D59EF745-610D-4B01-B989-7770D3CC3D54}</author>
    <author>tc={613DE458-99CE-45A4-8B93-71AEAB9800F6}</author>
    <author>tc={093A357C-F449-4537-BA06-897C39299E1D}</author>
    <author>tc={9052BB4E-9FC5-451A-865A-768D17513346}</author>
    <author>tc={AC2003C6-077E-44C8-9C05-7A5C3CE9FAA4}</author>
    <author>tc={5796CE8D-8347-46FD-9E8E-A6D1822B1838}</author>
    <author>tc={D09795A1-F801-4A82-BE7D-C98174453D43}</author>
    <author>tc={8FB1704A-073C-454C-BE65-0373E63CEBBE}</author>
    <author>tc={5D4F370E-A3D9-44B2-8BFE-343584EE5113}</author>
    <author>tc={5400DBD4-746E-4A9C-88B7-68BC8E6F0B27}</author>
    <author>tc={B9FB59D4-4970-470B-8C24-B76AD3CA5185}</author>
    <author>tc={43D54063-5160-44C3-9F2D-E3FCDF29AF32}</author>
    <author>tc={F5A2F380-BDD0-4996-B24D-5B105FDFCB7C}</author>
    <author>tc={869189A4-1BC8-4ADE-9967-B9B57A9055CD}</author>
    <author>tc={F029D1AF-5D08-4181-A48B-D2758603E874}</author>
    <author>tc={1B295185-C578-4FB5-AF95-6DF565719C47}</author>
    <author>tc={C874E8DA-02AE-4584-B820-231552939272}</author>
    <author>tc={437AC8BF-4154-4FDE-AAB7-DBD761D110BD}</author>
    <author>tc={76A29819-24B0-42D4-A791-7B1A1A5897BD}</author>
    <author>tc={BFA517A0-1098-47E3-A64D-625E7F91DE48}</author>
    <author>tc={5F824FEE-92A8-4311-AD4D-6463FDCAB0B3}</author>
    <author>tc={43CA6214-79BF-445A-8E51-ADB4C4451316}</author>
    <author>tc={B61340F9-C7FC-4569-9974-B1F5ACA9A694}</author>
    <author>tc={5AA33730-DF7E-45F1-A011-1444ECBD04FF}</author>
    <author>tc={F6086E79-5229-4C65-9C2E-FF3A7A66F534}</author>
    <author>tc={85635108-2B51-4EB8-B8DC-FE2E8D37A223}</author>
    <author>tc={50428307-1E2B-4A11-852C-E6682371E135}</author>
    <author>tc={D10F699D-FE59-451A-BB0C-627A7353FAD1}</author>
    <author>tc={FEB653BF-C43A-4A1D-8316-6977E8B443AE}</author>
  </authors>
  <commentList>
    <comment ref="I6" authorId="0" shapeId="0" xr:uid="{2B4B1216-682B-44CF-9A8F-92BDCDEC85C9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7" authorId="1" shapeId="0" xr:uid="{D59EF745-610D-4B01-B989-7770D3CC3D5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8" authorId="2" shapeId="0" xr:uid="{613DE458-99CE-45A4-8B93-71AEAB9800F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9" authorId="3" shapeId="0" xr:uid="{093A357C-F449-4537-BA06-897C39299E1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0" authorId="4" shapeId="0" xr:uid="{9052BB4E-9FC5-451A-865A-768D1751334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1" authorId="5" shapeId="0" xr:uid="{AC2003C6-077E-44C8-9C05-7A5C3CE9FAA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2" authorId="6" shapeId="0" xr:uid="{5796CE8D-8347-46FD-9E8E-A6D1822B183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3" authorId="7" shapeId="0" xr:uid="{D09795A1-F801-4A82-BE7D-C98174453D4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4" authorId="8" shapeId="0" xr:uid="{8FB1704A-073C-454C-BE65-0373E63CEBBE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5" authorId="9" shapeId="0" xr:uid="{5D4F370E-A3D9-44B2-8BFE-343584EE511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1" authorId="10" shapeId="0" xr:uid="{5400DBD4-746E-4A9C-88B7-68BC8E6F0B2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2" authorId="11" shapeId="0" xr:uid="{B9FB59D4-4970-470B-8C24-B76AD3CA5185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3" authorId="12" shapeId="0" xr:uid="{43D54063-5160-44C3-9F2D-E3FCDF29AF3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4" authorId="13" shapeId="0" xr:uid="{F5A2F380-BDD0-4996-B24D-5B105FDFCB7C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5" authorId="14" shapeId="0" xr:uid="{869189A4-1BC8-4ADE-9967-B9B57A9055C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6" authorId="15" shapeId="0" xr:uid="{F029D1AF-5D08-4181-A48B-D2758603E87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7" authorId="16" shapeId="0" xr:uid="{1B295185-C578-4FB5-AF95-6DF565719C4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8" authorId="17" shapeId="0" xr:uid="{C874E8DA-02AE-4584-B820-23155293927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9" authorId="18" shapeId="0" xr:uid="{437AC8BF-4154-4FDE-AAB7-DBD761D110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0" authorId="19" shapeId="0" xr:uid="{76A29819-24B0-42D4-A791-7B1A1A5897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1" authorId="20" shapeId="0" xr:uid="{BFA517A0-1098-47E3-A64D-625E7F91DE4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Huỳnh Kim Thảo qua</t>
      </text>
    </comment>
    <comment ref="I32" authorId="21" shapeId="0" xr:uid="{5F824FEE-92A8-4311-AD4D-6463FDCAB0B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6" authorId="22" shapeId="0" xr:uid="{43CA6214-79BF-445A-8E51-ADB4C4451316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có thông tin trên hóa đơn</t>
      </text>
    </comment>
    <comment ref="K155" authorId="23" shapeId="0" xr:uid="{B61340F9-C7FC-4569-9974-B1F5ACA9A694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đăng ký mã là sđt</t>
      </text>
    </comment>
    <comment ref="Q187" authorId="24" shapeId="0" xr:uid="{5AA33730-DF7E-45F1-A011-1444ECBD04FF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R187" authorId="25" shapeId="0" xr:uid="{F6086E79-5229-4C65-9C2E-FF3A7A66F534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Q225" authorId="26" shapeId="0" xr:uid="{85635108-2B51-4EB8-B8DC-FE2E8D37A223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O266" authorId="27" shapeId="0" xr:uid="{50428307-1E2B-4A11-852C-E6682371E135}">
      <text>
        <t>[Threaded comment]
Your version of Excel allows you to read this threaded comment; however, any edits to it will get removed if the file is opened in a newer version of Excel. Learn more: https://go.microsoft.com/fwlink/?linkid=870924
Comment:
    8571 Tâm thêm 9/12</t>
      </text>
    </comment>
    <comment ref="O268" authorId="28" shapeId="0" xr:uid="{D10F699D-FE59-451A-BB0C-627A7353FAD1}">
      <text>
        <t>[Threaded comment]
Your version of Excel allows you to read this threaded comment; however, any edits to it will get removed if the file is opened in a newer version of Excel. Learn more: https://go.microsoft.com/fwlink/?linkid=870924
Comment:
    27855 Tâm thêm 9/12</t>
      </text>
    </comment>
    <comment ref="O270" authorId="29" shapeId="0" xr:uid="{FEB653BF-C43A-4A1D-8316-6977E8B443AE}">
      <text>
        <t>[Threaded comment]
Your version of Excel allows you to read this threaded comment; however, any edits to it will get removed if the file is opened in a newer version of Excel. Learn more: https://go.microsoft.com/fwlink/?linkid=870924
Comment:
    446602 Tâm thêm 9/12</t>
      </text>
    </comment>
  </commentList>
</comments>
</file>

<file path=xl/sharedStrings.xml><?xml version="1.0" encoding="utf-8"?>
<sst xmlns="http://schemas.openxmlformats.org/spreadsheetml/2006/main" count="3167" uniqueCount="1484">
  <si>
    <t>STT</t>
  </si>
  <si>
    <t>Mã Khách hàng</t>
  </si>
  <si>
    <t>Tên đăng nhập</t>
  </si>
  <si>
    <t>PB01050029203</t>
  </si>
  <si>
    <t>BECAMEXBINHPHUOC</t>
  </si>
  <si>
    <t>PB01050026557</t>
  </si>
  <si>
    <t>PB01050029721</t>
  </si>
  <si>
    <t>BECAMEXBINHPHUOC3</t>
  </si>
  <si>
    <t>binhphuoc</t>
  </si>
  <si>
    <t>PB01050030968</t>
  </si>
  <si>
    <t>BECAMEXBINHPHUOC5</t>
  </si>
  <si>
    <t>PB01050036092</t>
  </si>
  <si>
    <t>PB01050029669</t>
  </si>
  <si>
    <t>BECAMEXBINHPHUOC4</t>
  </si>
  <si>
    <t>PB01050032992</t>
  </si>
  <si>
    <t>PB01050037856</t>
  </si>
  <si>
    <t>PB01050036935</t>
  </si>
  <si>
    <t>PB01050031833</t>
  </si>
  <si>
    <t>PB01050031832</t>
  </si>
  <si>
    <t>PB01050031835</t>
  </si>
  <si>
    <t>PB01050031968</t>
  </si>
  <si>
    <t>PB01050032432</t>
  </si>
  <si>
    <t>PB01050032706</t>
  </si>
  <si>
    <t>PB01050033634</t>
  </si>
  <si>
    <t>PB01050034661</t>
  </si>
  <si>
    <t>PB01050034418</t>
  </si>
  <si>
    <t>PB01050035887</t>
  </si>
  <si>
    <t>PB01050035886</t>
  </si>
  <si>
    <t>PB01050035885</t>
  </si>
  <si>
    <t>PB01050036023</t>
  </si>
  <si>
    <t>PB01050036024</t>
  </si>
  <si>
    <t>PB01050036029</t>
  </si>
  <si>
    <t>PB01050036030</t>
  </si>
  <si>
    <t>PB01050036031</t>
  </si>
  <si>
    <t>PB01050036032</t>
  </si>
  <si>
    <t>PB01050036033</t>
  </si>
  <si>
    <t>PB01050036034</t>
  </si>
  <si>
    <t>PB01050036035</t>
  </si>
  <si>
    <t>PB01050036465</t>
  </si>
  <si>
    <t>Mã HĐ</t>
  </si>
  <si>
    <t>22000567/ EVNSPC /HĐMBĐNMĐSH</t>
  </si>
  <si>
    <t>22000566/ EVNSPC /HĐMBĐNMĐSH</t>
  </si>
  <si>
    <t>Chiếu sáng N11-3</t>
  </si>
  <si>
    <t>22000565/ EVNSPC /HĐMBĐNMĐSH</t>
  </si>
  <si>
    <t>22000568/ EVNSPC /HĐMBĐNMĐSH</t>
  </si>
  <si>
    <t>22000569/ EVNSPC /HĐMBĐNMĐSH</t>
  </si>
  <si>
    <t>22000843/ EVNSPC /HĐMBĐNMĐSH</t>
  </si>
  <si>
    <t>Chiếu sáng N11-1</t>
  </si>
  <si>
    <t>22000562/ EVNSPC /HĐMBĐNMĐSH</t>
  </si>
  <si>
    <t>22000561/ EVNSPC /HĐMBĐNMĐSH</t>
  </si>
  <si>
    <t>Chiếu sáng D1</t>
  </si>
  <si>
    <t>22000555/ EVNSPC /HĐMBĐNMĐSH</t>
  </si>
  <si>
    <t>Chiếu sáng N11-2</t>
  </si>
  <si>
    <t>22000553/ EVNSPC /HĐMBĐNMĐSH</t>
  </si>
  <si>
    <t>22000501/ EVNSPC /HĐMBĐNMĐSH</t>
  </si>
  <si>
    <t>22000502/ EVNSPC /HĐMBĐNMĐSH</t>
  </si>
  <si>
    <t>22000503/ EVNSPC /HĐMBĐNMĐSH</t>
  </si>
  <si>
    <t>22000045/ EVNSPC /HĐMBĐNMĐSH</t>
  </si>
  <si>
    <t>Số công tơ</t>
  </si>
  <si>
    <t>Pass</t>
  </si>
  <si>
    <t>Mục đích sử dụng</t>
  </si>
  <si>
    <t>Sân bóng đá</t>
  </si>
  <si>
    <t>Chiếu sáng N14</t>
  </si>
  <si>
    <t>2 0 / 0 0 0 3 1 1</t>
  </si>
  <si>
    <t>Tên KH</t>
  </si>
  <si>
    <t>2 0 / 0 0 0 3 1 2</t>
  </si>
  <si>
    <t>CÔNG TY CỔ PHẦN PHÁT TRIỂN HẠ TẦNG KỸ THUẬT BECAMEX - BÌNH PHƯỚC (PCCC-N13)</t>
  </si>
  <si>
    <t>23000807/ EVN SPC /HĐMBĐNMĐSH</t>
  </si>
  <si>
    <t>CÔNG TY CỔ PHẦN PHÁT TRIỂN HẠ TẦNG KỸ THUẬT BECAMEX - BÌNH PHƯỚC</t>
  </si>
  <si>
    <t>CÔNG TY CỔ PHẦN PHÁT TRIỂN HẠ TẦNG KỸ THUẬT BECAMEX-BÌNH PHƯỚC(Giếng nước)</t>
  </si>
  <si>
    <t>22000590/ EVNSPC /HĐMBĐNMĐSH</t>
  </si>
  <si>
    <t>CÔNG TY CP PHÁT TRIỂN HẠ TẦNG KỸ THUẬT BECAMEX - BÌNH PHƯỚC</t>
  </si>
  <si>
    <t>22000477/ EVNSPC /HĐMBĐNMĐSH</t>
  </si>
  <si>
    <t>PB01050038191</t>
  </si>
  <si>
    <t>PB01050038183</t>
  </si>
  <si>
    <t>PB01050038184</t>
  </si>
  <si>
    <t>PB01050038193</t>
  </si>
  <si>
    <t>PB01050038186</t>
  </si>
  <si>
    <t>PB01050038187</t>
  </si>
  <si>
    <t>PB01050037388</t>
  </si>
  <si>
    <t>PB01050037389</t>
  </si>
  <si>
    <t>PB01050037390</t>
  </si>
  <si>
    <t>PB01050037396</t>
  </si>
  <si>
    <t>PB01050037393</t>
  </si>
  <si>
    <t>PB01050037397</t>
  </si>
  <si>
    <t>PB01050037394</t>
  </si>
  <si>
    <t>PB01050037395</t>
  </si>
  <si>
    <t>PB01050037399</t>
  </si>
  <si>
    <t>PB01050037400</t>
  </si>
  <si>
    <t>PB01050037401</t>
  </si>
  <si>
    <t>PB01050037402</t>
  </si>
  <si>
    <t>PB01050037403</t>
  </si>
  <si>
    <t>PB01050037404</t>
  </si>
  <si>
    <t>PB01050037405</t>
  </si>
  <si>
    <t>PB01050037406</t>
  </si>
  <si>
    <t>PB01050037407</t>
  </si>
  <si>
    <t>PB01050037417</t>
  </si>
  <si>
    <t>PB01050037418</t>
  </si>
  <si>
    <t>PB01050037408</t>
  </si>
  <si>
    <t>PB01050037409</t>
  </si>
  <si>
    <t>PB01050037410</t>
  </si>
  <si>
    <t>PB01050037411</t>
  </si>
  <si>
    <t>PB01050037412</t>
  </si>
  <si>
    <t>PB01050037413</t>
  </si>
  <si>
    <t>PB01050037416</t>
  </si>
  <si>
    <t>PB01050037414</t>
  </si>
  <si>
    <t>PB01050037415</t>
  </si>
  <si>
    <t>PB01050037419</t>
  </si>
  <si>
    <t>PB01050037420</t>
  </si>
  <si>
    <t>PB01050034111</t>
  </si>
  <si>
    <t>PB01050034112</t>
  </si>
  <si>
    <t>PB01050034113</t>
  </si>
  <si>
    <t>PB01050034116</t>
  </si>
  <si>
    <t>PB01050034118</t>
  </si>
  <si>
    <t>PB01050034122</t>
  </si>
  <si>
    <t>PB01050034119</t>
  </si>
  <si>
    <t>PB01050034120</t>
  </si>
  <si>
    <t>PB01050034123</t>
  </si>
  <si>
    <t>PB01050034124</t>
  </si>
  <si>
    <t>PB01050034142</t>
  </si>
  <si>
    <t>PB01050034145</t>
  </si>
  <si>
    <t>PB01050034146</t>
  </si>
  <si>
    <t>PB01050034147</t>
  </si>
  <si>
    <t>PB01050034148</t>
  </si>
  <si>
    <t>PB01050034149</t>
  </si>
  <si>
    <t>PB01050034150</t>
  </si>
  <si>
    <t>PB01050034151</t>
  </si>
  <si>
    <t>PB01050034152</t>
  </si>
  <si>
    <t>PB01050034153</t>
  </si>
  <si>
    <t>PB01050034154</t>
  </si>
  <si>
    <t>PB01050034155</t>
  </si>
  <si>
    <t>PB01050033913</t>
  </si>
  <si>
    <t>PB01050033914</t>
  </si>
  <si>
    <t>PB01050038948</t>
  </si>
  <si>
    <t>24000192/ EVN SPC /HĐMBĐNMĐSH</t>
  </si>
  <si>
    <t>P.KD</t>
  </si>
  <si>
    <t>PB01050039108</t>
  </si>
  <si>
    <t>PB01050039103</t>
  </si>
  <si>
    <t>PB01050039104</t>
  </si>
  <si>
    <t>PB01050039105</t>
  </si>
  <si>
    <t>PB01050039106</t>
  </si>
  <si>
    <t>PB01050039102</t>
  </si>
  <si>
    <t>PB01050039107</t>
  </si>
  <si>
    <t>PB01050039344</t>
  </si>
  <si>
    <t>PB01050039345</t>
  </si>
  <si>
    <t>PB01050039346</t>
  </si>
  <si>
    <t>PB01050039348</t>
  </si>
  <si>
    <t>PB01050039347</t>
  </si>
  <si>
    <t>PB01050039349</t>
  </si>
  <si>
    <t>PB01050039350</t>
  </si>
  <si>
    <t>PB01050039352</t>
  </si>
  <si>
    <t>PB01050039351</t>
  </si>
  <si>
    <t>PB01050039353</t>
  </si>
  <si>
    <t>PB01050039354</t>
  </si>
  <si>
    <t>PB01050039355</t>
  </si>
  <si>
    <t>PB01050039356</t>
  </si>
  <si>
    <t>PB01050039357</t>
  </si>
  <si>
    <t>PB01050039358</t>
  </si>
  <si>
    <t>PB01050039360</t>
  </si>
  <si>
    <t>PB01050039359</t>
  </si>
  <si>
    <t>PB01050039362</t>
  </si>
  <si>
    <t>PB01050039361</t>
  </si>
  <si>
    <t>PB01050039363</t>
  </si>
  <si>
    <t>PB01050039364</t>
  </si>
  <si>
    <t>PB01050039366</t>
  </si>
  <si>
    <t>PB01050039365</t>
  </si>
  <si>
    <t>PB01050039368</t>
  </si>
  <si>
    <t>PB01050039367</t>
  </si>
  <si>
    <t>GK939817560</t>
  </si>
  <si>
    <t>GK939817564</t>
  </si>
  <si>
    <t>GK939817702</t>
  </si>
  <si>
    <t>GK939817726</t>
  </si>
  <si>
    <t>GK939817727</t>
  </si>
  <si>
    <t>GK939817728</t>
  </si>
  <si>
    <t>GK939817729</t>
  </si>
  <si>
    <t>GK939817731</t>
  </si>
  <si>
    <t>GK939817732</t>
  </si>
  <si>
    <t>GK939817733</t>
  </si>
  <si>
    <t>GK939817736</t>
  </si>
  <si>
    <t>GK939817737</t>
  </si>
  <si>
    <t>GK939817739</t>
  </si>
  <si>
    <t>GK939817741</t>
  </si>
  <si>
    <t>GK939817742</t>
  </si>
  <si>
    <t>GK939817788</t>
  </si>
  <si>
    <t>GK939818163</t>
  </si>
  <si>
    <t>GK939818404</t>
  </si>
  <si>
    <t>GK939818441</t>
  </si>
  <si>
    <t>GK939818526</t>
  </si>
  <si>
    <t>GK939818529</t>
  </si>
  <si>
    <t>GK939818531</t>
  </si>
  <si>
    <t>GK939818532</t>
  </si>
  <si>
    <t>GK939818533</t>
  </si>
  <si>
    <t>GK939818535</t>
  </si>
  <si>
    <t>PB01050039586</t>
  </si>
  <si>
    <t>PB01050039587</t>
  </si>
  <si>
    <t>PB01050039588</t>
  </si>
  <si>
    <t>PB01050039589</t>
  </si>
  <si>
    <t>PB01050039594</t>
  </si>
  <si>
    <t>PB01050039595</t>
  </si>
  <si>
    <t>PB01050039596</t>
  </si>
  <si>
    <t>PB01050039597</t>
  </si>
  <si>
    <t>PB01050039598</t>
  </si>
  <si>
    <t>PB01050039601</t>
  </si>
  <si>
    <t>PB01050039602</t>
  </si>
  <si>
    <t>PB01050039615</t>
  </si>
  <si>
    <t>PB01050039616</t>
  </si>
  <si>
    <t>PB01050039617</t>
  </si>
  <si>
    <t>PB01050039618</t>
  </si>
  <si>
    <t>PB01050039632</t>
  </si>
  <si>
    <t>PB01050039633</t>
  </si>
  <si>
    <t>PB01050039642</t>
  </si>
  <si>
    <t>PB01050039635</t>
  </si>
  <si>
    <t>PB01050039636</t>
  </si>
  <si>
    <t>PB01050039637</t>
  </si>
  <si>
    <t>PB01050039639</t>
  </si>
  <si>
    <t>PB01050039640</t>
  </si>
  <si>
    <t>PB01050039641</t>
  </si>
  <si>
    <t>PB01050039645</t>
  </si>
  <si>
    <t>PB01050039646</t>
  </si>
  <si>
    <t>PB01050039647</t>
  </si>
  <si>
    <t>PB01050039648</t>
  </si>
  <si>
    <t>PB01050039649</t>
  </si>
  <si>
    <t>PB01050039650</t>
  </si>
  <si>
    <t>PB01050039651</t>
  </si>
  <si>
    <t>PB01050039652</t>
  </si>
  <si>
    <t>PB01050039653</t>
  </si>
  <si>
    <t>PB01050039654</t>
  </si>
  <si>
    <t>PB01050039655</t>
  </si>
  <si>
    <t>PB01050039656</t>
  </si>
  <si>
    <t>PB01050039657</t>
  </si>
  <si>
    <t>PB01050039658</t>
  </si>
  <si>
    <t>PB01050039659</t>
  </si>
  <si>
    <t>PB01050039660</t>
  </si>
  <si>
    <t>PB01050039661</t>
  </si>
  <si>
    <t>PB01050039662</t>
  </si>
  <si>
    <t>PB01050039663</t>
  </si>
  <si>
    <t>PB01050039664</t>
  </si>
  <si>
    <t>PB01050039665</t>
  </si>
  <si>
    <t>PB01050039666</t>
  </si>
  <si>
    <t>PB01050039667</t>
  </si>
  <si>
    <t>PB01050039668</t>
  </si>
  <si>
    <t>PB01050039669</t>
  </si>
  <si>
    <t>PB01050039670</t>
  </si>
  <si>
    <t>PB01050039671</t>
  </si>
  <si>
    <t>PB01050039672</t>
  </si>
  <si>
    <t>PB01050039673</t>
  </si>
  <si>
    <t>PB01050039674</t>
  </si>
  <si>
    <t>GK940239455</t>
  </si>
  <si>
    <t>GK940239460</t>
  </si>
  <si>
    <t>GK940239463</t>
  </si>
  <si>
    <t>GK940239466</t>
  </si>
  <si>
    <t>GK940239468</t>
  </si>
  <si>
    <t>GK940239472</t>
  </si>
  <si>
    <t>GK940239474</t>
  </si>
  <si>
    <t>GK940239477</t>
  </si>
  <si>
    <t>GK940239480</t>
  </si>
  <si>
    <t>GK940239484</t>
  </si>
  <si>
    <t>GK940239490</t>
  </si>
  <si>
    <t>GK940239492</t>
  </si>
  <si>
    <t>GK940239494</t>
  </si>
  <si>
    <t>GK940239495</t>
  </si>
  <si>
    <t>GK940239498</t>
  </si>
  <si>
    <t>GK940239499</t>
  </si>
  <si>
    <t>GK940239503</t>
  </si>
  <si>
    <t>GK940239504</t>
  </si>
  <si>
    <t>GK940239505</t>
  </si>
  <si>
    <t>GK940239507</t>
  </si>
  <si>
    <t>GK940239508</t>
  </si>
  <si>
    <t>GK940239511</t>
  </si>
  <si>
    <t>GK940239513</t>
  </si>
  <si>
    <t>GK940239519</t>
  </si>
  <si>
    <t>GK940239521</t>
  </si>
  <si>
    <t>GK940239524</t>
  </si>
  <si>
    <t>GK940239527</t>
  </si>
  <si>
    <t>GK940239532</t>
  </si>
  <si>
    <t>GK940239536</t>
  </si>
  <si>
    <t>GK940239537</t>
  </si>
  <si>
    <t>GK940239538</t>
  </si>
  <si>
    <t>GK940239540</t>
  </si>
  <si>
    <t>GK940239542</t>
  </si>
  <si>
    <t>GK940239544</t>
  </si>
  <si>
    <t>GK940239548</t>
  </si>
  <si>
    <t>GK940239550</t>
  </si>
  <si>
    <t>GK940239552</t>
  </si>
  <si>
    <t>GK940239555</t>
  </si>
  <si>
    <t>GK940239557</t>
  </si>
  <si>
    <t>GK940239558</t>
  </si>
  <si>
    <t>GK940239559</t>
  </si>
  <si>
    <t>GK940239562</t>
  </si>
  <si>
    <t>GK940239563</t>
  </si>
  <si>
    <t>GK940239573</t>
  </si>
  <si>
    <t>GK940239605</t>
  </si>
  <si>
    <t>GK940239608</t>
  </si>
  <si>
    <t>GK940239611</t>
  </si>
  <si>
    <t>GK940239614</t>
  </si>
  <si>
    <t>GK940239616</t>
  </si>
  <si>
    <t>GK940239617</t>
  </si>
  <si>
    <t>GK940239620</t>
  </si>
  <si>
    <t>GK940239624</t>
  </si>
  <si>
    <t>GK940239626</t>
  </si>
  <si>
    <t>GK940239630</t>
  </si>
  <si>
    <t>GK940239635</t>
  </si>
  <si>
    <t>GK940239638</t>
  </si>
  <si>
    <t>GK940239640</t>
  </si>
  <si>
    <t>GK940239646</t>
  </si>
  <si>
    <t>GK940239648</t>
  </si>
  <si>
    <t>GK940239651</t>
  </si>
  <si>
    <t>GK940239653</t>
  </si>
  <si>
    <t>GK940239655</t>
  </si>
  <si>
    <t>GK940239657</t>
  </si>
  <si>
    <t>GK940239660</t>
  </si>
  <si>
    <t>GK940239670</t>
  </si>
  <si>
    <t>GK940239671</t>
  </si>
  <si>
    <t>GK940239673</t>
  </si>
  <si>
    <t>GK940239675</t>
  </si>
  <si>
    <t>GK940239676</t>
  </si>
  <si>
    <t>GK940239679</t>
  </si>
  <si>
    <t>GK940239680</t>
  </si>
  <si>
    <t>GK940239681</t>
  </si>
  <si>
    <t>GK940239682</t>
  </si>
  <si>
    <t>GK940239690</t>
  </si>
  <si>
    <t>GK940239692</t>
  </si>
  <si>
    <t>11435501</t>
  </si>
  <si>
    <t>11435128</t>
  </si>
  <si>
    <t>11581284</t>
  </si>
  <si>
    <t>11582892</t>
  </si>
  <si>
    <t>11580929</t>
  </si>
  <si>
    <t>11580292</t>
  </si>
  <si>
    <t>11582715</t>
  </si>
  <si>
    <t>11435215</t>
  </si>
  <si>
    <t>11583324</t>
  </si>
  <si>
    <t>11581267</t>
  </si>
  <si>
    <t>11581345</t>
  </si>
  <si>
    <t>1411223381</t>
  </si>
  <si>
    <t>11435109</t>
  </si>
  <si>
    <t>11435136</t>
  </si>
  <si>
    <t>11584500</t>
  </si>
  <si>
    <t>11582797</t>
  </si>
  <si>
    <t>11435019</t>
  </si>
  <si>
    <t>11436310</t>
  </si>
  <si>
    <t>11583302</t>
  </si>
  <si>
    <t>11435110</t>
  </si>
  <si>
    <t>1411057576</t>
  </si>
  <si>
    <t>1411163055</t>
  </si>
  <si>
    <t>1411222703</t>
  </si>
  <si>
    <t>1411223000</t>
  </si>
  <si>
    <t>0131194040</t>
  </si>
  <si>
    <t>1411223067</t>
  </si>
  <si>
    <t>1411059337</t>
  </si>
  <si>
    <t>1411021460</t>
  </si>
  <si>
    <t>1411057056</t>
  </si>
  <si>
    <t>1411125857</t>
  </si>
  <si>
    <t>1411185550</t>
  </si>
  <si>
    <t>1411185151</t>
  </si>
  <si>
    <t>0131194860</t>
  </si>
  <si>
    <t>11435080</t>
  </si>
  <si>
    <t>11581460</t>
  </si>
  <si>
    <t>11581694</t>
  </si>
  <si>
    <t>1200144126</t>
  </si>
  <si>
    <t>11580448</t>
  </si>
  <si>
    <t>1411057405</t>
  </si>
  <si>
    <t>1411183992</t>
  </si>
  <si>
    <t>1411057359</t>
  </si>
  <si>
    <t>11435075</t>
  </si>
  <si>
    <t>11436578</t>
  </si>
  <si>
    <t>11583643</t>
  </si>
  <si>
    <t>1411125274</t>
  </si>
  <si>
    <t>1411125740</t>
  </si>
  <si>
    <t>0131166118</t>
  </si>
  <si>
    <t>1611060356</t>
  </si>
  <si>
    <t>0131195277</t>
  </si>
  <si>
    <t>1611755887</t>
  </si>
  <si>
    <t>1411162106</t>
  </si>
  <si>
    <t>11583725</t>
  </si>
  <si>
    <t>11583564</t>
  </si>
  <si>
    <t>11582961</t>
  </si>
  <si>
    <t>11582714</t>
  </si>
  <si>
    <t>11581010</t>
  </si>
  <si>
    <t>11435364</t>
  </si>
  <si>
    <t>PB01050039747</t>
  </si>
  <si>
    <t>PB01050039746</t>
  </si>
  <si>
    <t>PB01050039745</t>
  </si>
  <si>
    <t>PB01050039744</t>
  </si>
  <si>
    <t>PB01050039743</t>
  </si>
  <si>
    <t>PB01050039742</t>
  </si>
  <si>
    <t>PB01050039728</t>
  </si>
  <si>
    <t>11584492</t>
  </si>
  <si>
    <t>PB01050039676</t>
  </si>
  <si>
    <t>11584515</t>
  </si>
  <si>
    <t>PB01050039741</t>
  </si>
  <si>
    <t>11582952</t>
  </si>
  <si>
    <t>PB01050039740</t>
  </si>
  <si>
    <t>11582984</t>
  </si>
  <si>
    <t>PB01050039739</t>
  </si>
  <si>
    <t>11581006</t>
  </si>
  <si>
    <t>11584512</t>
  </si>
  <si>
    <t>PB01050039738</t>
  </si>
  <si>
    <t>PB01050039729</t>
  </si>
  <si>
    <t>11583642</t>
  </si>
  <si>
    <t>11435117</t>
  </si>
  <si>
    <t>11438192</t>
  </si>
  <si>
    <t>11583277</t>
  </si>
  <si>
    <t>11583279</t>
  </si>
  <si>
    <t>11583278</t>
  </si>
  <si>
    <t>11435074</t>
  </si>
  <si>
    <t>11579928</t>
  </si>
  <si>
    <t>11436640</t>
  </si>
  <si>
    <t>PB01050039730</t>
  </si>
  <si>
    <t>PB01050039731</t>
  </si>
  <si>
    <t>PB01050039732</t>
  </si>
  <si>
    <t>PB01050039733</t>
  </si>
  <si>
    <t>PB01050039734</t>
  </si>
  <si>
    <t>PB01050039735</t>
  </si>
  <si>
    <t>PB01050039736</t>
  </si>
  <si>
    <t>PB01050039737</t>
  </si>
  <si>
    <t>Anh Khánh</t>
  </si>
  <si>
    <t>Anh Dũng</t>
  </si>
  <si>
    <t>PB01050040148</t>
  </si>
  <si>
    <t>CÔNG TY CỔ PHẦN PHÁT TRIỂN HẠ TẦNG KỸ THUẬT BECAMEX - BÌNH PHƯỚC (đèn đường)</t>
  </si>
  <si>
    <t>CÔNG TY CỔ PHẦN PHÁT TRIỂN HẠ TẦNG KỸ THUẬT BECAMEX - BÌNH PHƯỚC (Chiếu sáng N11-2)</t>
  </si>
  <si>
    <t>CÔNG TY CỔ PHẦN PHÁT TRIỂN HẠ TẦNG KỸ THUẬT BECAMEX - BÌNH PHƯỚC (Chiếu sáng D1)</t>
  </si>
  <si>
    <t>CÔNG TY CỔ PHẦN PHÁT TRIỂN HẠ TẦNG KỸ THUẬT BECAMEX - BÌNH PHƯỚC (HT tưới N11-4)</t>
  </si>
  <si>
    <t>CÔNG TY CỔ PHẦN PHÁT TRIỂN HẠ TẦNG KỸ THUẬT BECAMEX - BÌNH PHƯỚC (Chiếu sáng N11-1)</t>
  </si>
  <si>
    <t>CÔNG TY CỔ PHẦN PHÁT TRIỂN HẠ TẦNG KỸ THUẬT BECAMEX - BÌNH PHƯỚC (Chiếu sáng N11-3)</t>
  </si>
  <si>
    <t>CÔNG TY CỔ PHẦN PHÁT TRIỂN HẠ TẦNG KỸ THUẬT BECAMEX - BÌNH PHƯỚC (HT tưới N11-2)</t>
  </si>
  <si>
    <t>CÔNG TY CỔ PHẦN PHÁT TRIỂN HẠ TẦNG KỸ THUẬT BECAMEX - BÌNH PHƯỚC (HT tưới N11-1)</t>
  </si>
  <si>
    <t>CÔNG TY CỔ PHẦN PHÁT TRIỂN HẠ TẦNG KỸ THUẬT BECAMEX - BÌNH PHƯỚC (Chiếu sáng N1B-1)</t>
  </si>
  <si>
    <t>CÔNG TY CỔ PHẦN PHÁT TRIỂN HẠ TẦNG KỸ THUẬT BECAMEX - BÌNH PHƯỚC (Chiếu sáng N1B-2)</t>
  </si>
  <si>
    <t>PB01050040499</t>
  </si>
  <si>
    <t>GK943874067</t>
  </si>
  <si>
    <t>PB01050041086</t>
  </si>
  <si>
    <t>PB01050041087</t>
  </si>
  <si>
    <t>Nhà thầu đang thi công</t>
  </si>
  <si>
    <t>PB01050041230</t>
  </si>
  <si>
    <t>PB01050041232</t>
  </si>
  <si>
    <t>PB01050041233</t>
  </si>
  <si>
    <t>PB01050041234</t>
  </si>
  <si>
    <t>PB01050041235</t>
  </si>
  <si>
    <t>PB01050041236</t>
  </si>
  <si>
    <t>PB01050041237</t>
  </si>
  <si>
    <t>PB01050041239</t>
  </si>
  <si>
    <t>PB01050041240</t>
  </si>
  <si>
    <t>PB01050041241</t>
  </si>
  <si>
    <t>PB01050041242</t>
  </si>
  <si>
    <t>PB01050041243</t>
  </si>
  <si>
    <t>PB01050041244</t>
  </si>
  <si>
    <t>PB01050041245</t>
  </si>
  <si>
    <t>PB01050041246</t>
  </si>
  <si>
    <t>PB01050041247</t>
  </si>
  <si>
    <t>PB01050041250</t>
  </si>
  <si>
    <t>PB01050041251</t>
  </si>
  <si>
    <t>PB01050041252</t>
  </si>
  <si>
    <t>PB01050041253</t>
  </si>
  <si>
    <t>PB01050041254</t>
  </si>
  <si>
    <t>PB01050041255</t>
  </si>
  <si>
    <t>PB01050041256</t>
  </si>
  <si>
    <t>PB01050041257</t>
  </si>
  <si>
    <t>PB01050041258</t>
  </si>
  <si>
    <t>PB01050041259</t>
  </si>
  <si>
    <t>PB01050041260</t>
  </si>
  <si>
    <t>PB01050041261</t>
  </si>
  <si>
    <t>PB01050041262</t>
  </si>
  <si>
    <t>PB01050041263</t>
  </si>
  <si>
    <t>PB01050041264</t>
  </si>
  <si>
    <t>PB01050041265</t>
  </si>
  <si>
    <t>PB01050041266</t>
  </si>
  <si>
    <t>PB01050041267</t>
  </si>
  <si>
    <t>PB01050041268</t>
  </si>
  <si>
    <t>PB01050041269</t>
  </si>
  <si>
    <t>GK945513464</t>
  </si>
  <si>
    <t>GK945513468</t>
  </si>
  <si>
    <t>GK945513474</t>
  </si>
  <si>
    <t>GK945513492</t>
  </si>
  <si>
    <t>GK945513495</t>
  </si>
  <si>
    <t>GK945513496</t>
  </si>
  <si>
    <t>GK945513497</t>
  </si>
  <si>
    <t>GK945513498</t>
  </si>
  <si>
    <t>GK945513500</t>
  </si>
  <si>
    <t>GK945513501</t>
  </si>
  <si>
    <t>GK945513505</t>
  </si>
  <si>
    <t>GK945513508</t>
  </si>
  <si>
    <t>GK945513558</t>
  </si>
  <si>
    <t>GK945513560</t>
  </si>
  <si>
    <t>GK945513561</t>
  </si>
  <si>
    <t>GK945513562</t>
  </si>
  <si>
    <t>GK945513565</t>
  </si>
  <si>
    <t>GK945513568</t>
  </si>
  <si>
    <t>GK945513570</t>
  </si>
  <si>
    <t>GK945513572</t>
  </si>
  <si>
    <t>GK945513575</t>
  </si>
  <si>
    <t>GK945513576</t>
  </si>
  <si>
    <t>GK945513577</t>
  </si>
  <si>
    <t>GK945513594</t>
  </si>
  <si>
    <t>GK945513604</t>
  </si>
  <si>
    <t>GK945513605</t>
  </si>
  <si>
    <t>GK945513609</t>
  </si>
  <si>
    <t>GK945513611</t>
  </si>
  <si>
    <t>GK945513612</t>
  </si>
  <si>
    <t>GK945513633</t>
  </si>
  <si>
    <t>GK945513639</t>
  </si>
  <si>
    <t>GK945513643</t>
  </si>
  <si>
    <t>GK945513644</t>
  </si>
  <si>
    <t>GK945513707</t>
  </si>
  <si>
    <t>GK945518639</t>
  </si>
  <si>
    <t>GK945518641</t>
  </si>
  <si>
    <t>7525432125000127</t>
  </si>
  <si>
    <t>7525432125000129</t>
  </si>
  <si>
    <t>7525432125000130</t>
  </si>
  <si>
    <t>7525432125000131</t>
  </si>
  <si>
    <t>7525432125000132</t>
  </si>
  <si>
    <t>7525432125000133</t>
  </si>
  <si>
    <t>7525432125000135</t>
  </si>
  <si>
    <t>7525432125000138</t>
  </si>
  <si>
    <t>7525432125000139</t>
  </si>
  <si>
    <t>7525432125000140</t>
  </si>
  <si>
    <t>7525432125000142</t>
  </si>
  <si>
    <t>7525432125000143</t>
  </si>
  <si>
    <t>7525432125000144</t>
  </si>
  <si>
    <t>7525432125000146</t>
  </si>
  <si>
    <t>7525432125000147</t>
  </si>
  <si>
    <t>7525432125000149</t>
  </si>
  <si>
    <t>7525432125000153</t>
  </si>
  <si>
    <t>7525432125000158</t>
  </si>
  <si>
    <t>7525432125000159</t>
  </si>
  <si>
    <t>7525432125000160</t>
  </si>
  <si>
    <t>7525432125000161</t>
  </si>
  <si>
    <t>7525432125000162</t>
  </si>
  <si>
    <t>7525432125000163</t>
  </si>
  <si>
    <t>7525432125000164</t>
  </si>
  <si>
    <t>7525432125000165</t>
  </si>
  <si>
    <t>7525432125000166</t>
  </si>
  <si>
    <t>7525432125000167</t>
  </si>
  <si>
    <t>7525432125000168</t>
  </si>
  <si>
    <t>7525432125000169</t>
  </si>
  <si>
    <t>7525432125000170</t>
  </si>
  <si>
    <t>7525432125000171</t>
  </si>
  <si>
    <t>7525432125000172</t>
  </si>
  <si>
    <t>7525432125000173</t>
  </si>
  <si>
    <t>7525432125000174</t>
  </si>
  <si>
    <t>7525432125000175</t>
  </si>
  <si>
    <t>7525432125000176</t>
  </si>
  <si>
    <t>PB01050041346</t>
  </si>
  <si>
    <t>PB01050041351</t>
  </si>
  <si>
    <t>PB01050041352</t>
  </si>
  <si>
    <t>PB01050041353</t>
  </si>
  <si>
    <t>PB01050041354</t>
  </si>
  <si>
    <t>PB01050041355</t>
  </si>
  <si>
    <t>PB01050041356</t>
  </si>
  <si>
    <t>PB01050041357</t>
  </si>
  <si>
    <t>PB01050041358</t>
  </si>
  <si>
    <t>PB01050041359</t>
  </si>
  <si>
    <t>PB01050041360</t>
  </si>
  <si>
    <t>PB01050041361</t>
  </si>
  <si>
    <t>PB01050041362</t>
  </si>
  <si>
    <t>PB01050041363</t>
  </si>
  <si>
    <t>PB01050041364</t>
  </si>
  <si>
    <t>PB01050041365</t>
  </si>
  <si>
    <t>PB01050041366</t>
  </si>
  <si>
    <t>PB01050041367</t>
  </si>
  <si>
    <t>PB01050041368</t>
  </si>
  <si>
    <t>PB01050041369</t>
  </si>
  <si>
    <t>PB01050041370</t>
  </si>
  <si>
    <t>PB01050041371</t>
  </si>
  <si>
    <t>PB01050041372</t>
  </si>
  <si>
    <t>PB01050041373</t>
  </si>
  <si>
    <t>PB01050041374</t>
  </si>
  <si>
    <t>PB01050041376</t>
  </si>
  <si>
    <t>PB01050041377</t>
  </si>
  <si>
    <t>PB01050041378</t>
  </si>
  <si>
    <t>PB01050041379</t>
  </si>
  <si>
    <t>PB01050041380</t>
  </si>
  <si>
    <t>PB01050041381</t>
  </si>
  <si>
    <t>PB01050041382</t>
  </si>
  <si>
    <t>PB01050041383</t>
  </si>
  <si>
    <t>PB01050041384</t>
  </si>
  <si>
    <t>PB01050041385</t>
  </si>
  <si>
    <t>PB01050041386</t>
  </si>
  <si>
    <t>PB01050041387</t>
  </si>
  <si>
    <t>PB01050041388</t>
  </si>
  <si>
    <t>PB01050041389</t>
  </si>
  <si>
    <t>PB01050041393</t>
  </si>
  <si>
    <t>PB01050041394</t>
  </si>
  <si>
    <t>PB01050041395</t>
  </si>
  <si>
    <t>PB01050041396</t>
  </si>
  <si>
    <t>PB01050041397</t>
  </si>
  <si>
    <t>PB01050041398</t>
  </si>
  <si>
    <t>PB01050041399</t>
  </si>
  <si>
    <t>PB01050041400</t>
  </si>
  <si>
    <t>PB01050041401</t>
  </si>
  <si>
    <t>PB01050041402</t>
  </si>
  <si>
    <t>Giao CP thuê</t>
  </si>
  <si>
    <t>Chiếu sáng N1B-1</t>
  </si>
  <si>
    <t>Chiếu sáng N1B-2</t>
  </si>
  <si>
    <t>PB01050041642</t>
  </si>
  <si>
    <t>PB01050041643</t>
  </si>
  <si>
    <t>PB01050041644</t>
  </si>
  <si>
    <t>PB01050041645</t>
  </si>
  <si>
    <t>PB01050041646</t>
  </si>
  <si>
    <t>PB01050041647</t>
  </si>
  <si>
    <t>PB01050041648</t>
  </si>
  <si>
    <t>PB01050041649</t>
  </si>
  <si>
    <t>PB01050041650</t>
  </si>
  <si>
    <t>PB01050041651</t>
  </si>
  <si>
    <t>PB01050041652</t>
  </si>
  <si>
    <t>TCS 3 đường N12B</t>
  </si>
  <si>
    <t>TCS 6 đường N12B</t>
  </si>
  <si>
    <t>TCS 2 nút giao N2B-D1B</t>
  </si>
  <si>
    <t>TCS 14.2 nút giao D1-D1B</t>
  </si>
  <si>
    <t>TCS 15 nút giao N11-D1B</t>
  </si>
  <si>
    <t>TCS 13 nút giao N6-D5B</t>
  </si>
  <si>
    <t>TCS 17 nút giao N2B-D5B</t>
  </si>
  <si>
    <t>TCS 1 giữa N13B - N14B</t>
  </si>
  <si>
    <t>GK946422825</t>
  </si>
  <si>
    <t>GK946422830</t>
  </si>
  <si>
    <t>GK946422831</t>
  </si>
  <si>
    <t>GK946422832</t>
  </si>
  <si>
    <t>GK946422837</t>
  </si>
  <si>
    <t>GK946422839</t>
  </si>
  <si>
    <t>GK946422841</t>
  </si>
  <si>
    <t>GK946422846</t>
  </si>
  <si>
    <t>GK946422847</t>
  </si>
  <si>
    <t>GK946422848</t>
  </si>
  <si>
    <t>GK946422849</t>
  </si>
  <si>
    <t>7525432225000305</t>
  </si>
  <si>
    <t>0913861679</t>
  </si>
  <si>
    <t>7525432225000306</t>
  </si>
  <si>
    <t>7525432225000307</t>
  </si>
  <si>
    <t>7525432225000308</t>
  </si>
  <si>
    <t>7525432225000309</t>
  </si>
  <si>
    <t>7525432225000310</t>
  </si>
  <si>
    <t>7525432225000311</t>
  </si>
  <si>
    <t>7525432225000312</t>
  </si>
  <si>
    <t>7525432225000313</t>
  </si>
  <si>
    <t>7525432225000314</t>
  </si>
  <si>
    <t>7525432225000315</t>
  </si>
  <si>
    <t>Gộp mã</t>
  </si>
  <si>
    <t>0707966066</t>
  </si>
  <si>
    <t>PB01050032166</t>
  </si>
  <si>
    <t>PB01050032160</t>
  </si>
  <si>
    <t>PB01050030037</t>
  </si>
  <si>
    <t>PB01050032165</t>
  </si>
  <si>
    <t>PB01050030040</t>
  </si>
  <si>
    <t>PB01050032174</t>
  </si>
  <si>
    <t>PB01050030031</t>
  </si>
  <si>
    <t>PB01050032163</t>
  </si>
  <si>
    <t>PB01050032162</t>
  </si>
  <si>
    <t>PB01050030035</t>
  </si>
  <si>
    <t>PB01050030038</t>
  </si>
  <si>
    <t>PB01050030033</t>
  </si>
  <si>
    <t>PB01050030032</t>
  </si>
  <si>
    <t>PB01050030034</t>
  </si>
  <si>
    <t>PB01050032159</t>
  </si>
  <si>
    <t>PB01050032161</t>
  </si>
  <si>
    <t>PB01050032168</t>
  </si>
  <si>
    <t>PB01050030039</t>
  </si>
  <si>
    <t>PB01050032167</t>
  </si>
  <si>
    <t>PB01050032164</t>
  </si>
  <si>
    <t>PB01050030036</t>
  </si>
  <si>
    <t>Bên phụ trách</t>
  </si>
  <si>
    <t>Mã yêu cầu</t>
  </si>
  <si>
    <t xml:space="preserve">PB01050032172 </t>
  </si>
  <si>
    <t>SDT đăng ký</t>
  </si>
  <si>
    <t>7525432125011883</t>
  </si>
  <si>
    <t>7525432125011884</t>
  </si>
  <si>
    <t>7525432125011885</t>
  </si>
  <si>
    <t>7525432125011886</t>
  </si>
  <si>
    <t>7525432125011887</t>
  </si>
  <si>
    <t>7525432125011889</t>
  </si>
  <si>
    <t>7525432125011890</t>
  </si>
  <si>
    <t>7525432125011891</t>
  </si>
  <si>
    <t>7525432125011892</t>
  </si>
  <si>
    <t>7525432125011893</t>
  </si>
  <si>
    <t>7525432125011894</t>
  </si>
  <si>
    <t>7525432125011896</t>
  </si>
  <si>
    <t>7525432125011898</t>
  </si>
  <si>
    <t>7525432125011901</t>
  </si>
  <si>
    <t>7525432125011903</t>
  </si>
  <si>
    <t>Mã tra nhanh</t>
  </si>
  <si>
    <t>t4319</t>
  </si>
  <si>
    <t>t4419</t>
  </si>
  <si>
    <t>t1631</t>
  </si>
  <si>
    <t>t3131</t>
  </si>
  <si>
    <t>t1632</t>
  </si>
  <si>
    <t>t1644</t>
  </si>
  <si>
    <t>t1944</t>
  </si>
  <si>
    <t>t3216</t>
  </si>
  <si>
    <t>t1616</t>
  </si>
  <si>
    <t>t3116</t>
  </si>
  <si>
    <t>t4316</t>
  </si>
  <si>
    <t>t4416</t>
  </si>
  <si>
    <t>t1643</t>
  </si>
  <si>
    <t>t1943</t>
  </si>
  <si>
    <t>7525432125011904</t>
  </si>
  <si>
    <t>7525432125011906</t>
  </si>
  <si>
    <t>7525432125011907</t>
  </si>
  <si>
    <t>7525432125011908</t>
  </si>
  <si>
    <t>7525432125011909</t>
  </si>
  <si>
    <t>7525432125011910</t>
  </si>
  <si>
    <t>7525432125011911</t>
  </si>
  <si>
    <t>7525432125011915</t>
  </si>
  <si>
    <t>7525432125011913</t>
  </si>
  <si>
    <t>t1954</t>
  </si>
  <si>
    <t>t1964</t>
  </si>
  <si>
    <t>t19104</t>
  </si>
  <si>
    <t>t1984</t>
  </si>
  <si>
    <t>t1974</t>
  </si>
  <si>
    <t>t1994</t>
  </si>
  <si>
    <t>t1935</t>
  </si>
  <si>
    <t>t1945</t>
  </si>
  <si>
    <t>t1985</t>
  </si>
  <si>
    <t>t1995</t>
  </si>
  <si>
    <t>t1975</t>
  </si>
  <si>
    <t>t19105</t>
  </si>
  <si>
    <t>t1936</t>
  </si>
  <si>
    <t>t1946</t>
  </si>
  <si>
    <t>t1956</t>
  </si>
  <si>
    <t>t1966</t>
  </si>
  <si>
    <t>t1996</t>
  </si>
  <si>
    <t>t1986</t>
  </si>
  <si>
    <t>t1976</t>
  </si>
  <si>
    <t>t1947</t>
  </si>
  <si>
    <t>t1997</t>
  </si>
  <si>
    <t>t1987</t>
  </si>
  <si>
    <t>t1977</t>
  </si>
  <si>
    <t>t1948</t>
  </si>
  <si>
    <t>t1958</t>
  </si>
  <si>
    <t>t1968</t>
  </si>
  <si>
    <t>t1998</t>
  </si>
  <si>
    <t>t1988</t>
  </si>
  <si>
    <t>t1978</t>
  </si>
  <si>
    <t>t1969</t>
  </si>
  <si>
    <t>t1999</t>
  </si>
  <si>
    <t>t1979</t>
  </si>
  <si>
    <t>t1989</t>
  </si>
  <si>
    <t>t1940</t>
  </si>
  <si>
    <t>t1941</t>
  </si>
  <si>
    <t>t1942</t>
  </si>
  <si>
    <t>t1950</t>
  </si>
  <si>
    <t>t1952</t>
  </si>
  <si>
    <t>t1960</t>
  </si>
  <si>
    <t>t1962</t>
  </si>
  <si>
    <t>t1970</t>
  </si>
  <si>
    <t>t1971</t>
  </si>
  <si>
    <t>t19102</t>
  </si>
  <si>
    <t>t1990</t>
  </si>
  <si>
    <t>t1991</t>
  </si>
  <si>
    <t>t1972</t>
  </si>
  <si>
    <t>t1980</t>
  </si>
  <si>
    <t>t19103</t>
  </si>
  <si>
    <t>t1973</t>
  </si>
  <si>
    <t>t19100</t>
  </si>
  <si>
    <t>t1981</t>
  </si>
  <si>
    <t>t1992</t>
  </si>
  <si>
    <t>t19101</t>
  </si>
  <si>
    <t>t1993</t>
  </si>
  <si>
    <t>t1982</t>
  </si>
  <si>
    <t>t1983</t>
  </si>
  <si>
    <t>t3112</t>
  </si>
  <si>
    <t>t3122</t>
  </si>
  <si>
    <t>t3132</t>
  </si>
  <si>
    <t>t3142</t>
  </si>
  <si>
    <t>t3152</t>
  </si>
  <si>
    <t>t3113</t>
  </si>
  <si>
    <t>t3123</t>
  </si>
  <si>
    <t>t3133</t>
  </si>
  <si>
    <t>t3143</t>
  </si>
  <si>
    <t>t3153</t>
  </si>
  <si>
    <t>t3114</t>
  </si>
  <si>
    <t>t3124</t>
  </si>
  <si>
    <t>t3134</t>
  </si>
  <si>
    <t>t3144</t>
  </si>
  <si>
    <t>t3154</t>
  </si>
  <si>
    <t>t3115</t>
  </si>
  <si>
    <t>t3125</t>
  </si>
  <si>
    <t>t3135</t>
  </si>
  <si>
    <t>t3145</t>
  </si>
  <si>
    <t>t3155</t>
  </si>
  <si>
    <t>t3136</t>
  </si>
  <si>
    <t>t3146</t>
  </si>
  <si>
    <t>t3156</t>
  </si>
  <si>
    <t>t3117</t>
  </si>
  <si>
    <t>t3137</t>
  </si>
  <si>
    <t>t3147</t>
  </si>
  <si>
    <t>t3157</t>
  </si>
  <si>
    <t>t3118</t>
  </si>
  <si>
    <t>t3138</t>
  </si>
  <si>
    <t>t3148</t>
  </si>
  <si>
    <t>t3158</t>
  </si>
  <si>
    <t>t3119</t>
  </si>
  <si>
    <t>t3139</t>
  </si>
  <si>
    <t>t3149</t>
  </si>
  <si>
    <t>t3159</t>
  </si>
  <si>
    <t>t3110</t>
  </si>
  <si>
    <t>t3111</t>
  </si>
  <si>
    <t>t3120</t>
  </si>
  <si>
    <t>t3121</t>
  </si>
  <si>
    <t>t3130</t>
  </si>
  <si>
    <t>t3140</t>
  </si>
  <si>
    <t>t3141</t>
  </si>
  <si>
    <t>t3150</t>
  </si>
  <si>
    <t>t3151</t>
  </si>
  <si>
    <t>t3211</t>
  </si>
  <si>
    <t>t3221</t>
  </si>
  <si>
    <t>t3212</t>
  </si>
  <si>
    <t>t3222</t>
  </si>
  <si>
    <t>t3213</t>
  </si>
  <si>
    <t>t3214</t>
  </si>
  <si>
    <t>t3215</t>
  </si>
  <si>
    <t>t3217</t>
  </si>
  <si>
    <t>t3218</t>
  </si>
  <si>
    <t>t3219</t>
  </si>
  <si>
    <t>t3210</t>
  </si>
  <si>
    <t>t3220</t>
  </si>
  <si>
    <t>t4410</t>
  </si>
  <si>
    <t>t4411</t>
  </si>
  <si>
    <t>t4412</t>
  </si>
  <si>
    <t>t4413</t>
  </si>
  <si>
    <t>t4414</t>
  </si>
  <si>
    <t>t4415</t>
  </si>
  <si>
    <t>t4417</t>
  </si>
  <si>
    <t>t4418</t>
  </si>
  <si>
    <t>t4420</t>
  </si>
  <si>
    <t>t4421</t>
  </si>
  <si>
    <t>t4422</t>
  </si>
  <si>
    <t>t4423</t>
  </si>
  <si>
    <t>t4424</t>
  </si>
  <si>
    <t>t4425</t>
  </si>
  <si>
    <t>t4426</t>
  </si>
  <si>
    <t>t1572</t>
  </si>
  <si>
    <t>t1573</t>
  </si>
  <si>
    <t>t1579</t>
  </si>
  <si>
    <t>t1580</t>
  </si>
  <si>
    <t>t1680</t>
  </si>
  <si>
    <t>t1630</t>
  </si>
  <si>
    <t>t1660</t>
  </si>
  <si>
    <t>t1610</t>
  </si>
  <si>
    <t>t1620</t>
  </si>
  <si>
    <t>t1640</t>
  </si>
  <si>
    <t>t1650</t>
  </si>
  <si>
    <t>t1670</t>
  </si>
  <si>
    <t>t1681</t>
  </si>
  <si>
    <t>t1621</t>
  </si>
  <si>
    <t>t1661</t>
  </si>
  <si>
    <t>t1611</t>
  </si>
  <si>
    <t>t1641</t>
  </si>
  <si>
    <t>t1651</t>
  </si>
  <si>
    <t>t1671</t>
  </si>
  <si>
    <t>t1682</t>
  </si>
  <si>
    <t>t1622</t>
  </si>
  <si>
    <t>t1612</t>
  </si>
  <si>
    <t>t1642</t>
  </si>
  <si>
    <t>t1652</t>
  </si>
  <si>
    <t>t1662</t>
  </si>
  <si>
    <t>t1672</t>
  </si>
  <si>
    <t>t1623</t>
  </si>
  <si>
    <t>t1633</t>
  </si>
  <si>
    <t>t1673</t>
  </si>
  <si>
    <t>t1653</t>
  </si>
  <si>
    <t>t1613</t>
  </si>
  <si>
    <t>t1663</t>
  </si>
  <si>
    <t>t1624</t>
  </si>
  <si>
    <t>t1674</t>
  </si>
  <si>
    <t>t1654</t>
  </si>
  <si>
    <t>t1614</t>
  </si>
  <si>
    <t>t1634</t>
  </si>
  <si>
    <t>t1664</t>
  </si>
  <si>
    <t>t1675</t>
  </si>
  <si>
    <t>t1655</t>
  </si>
  <si>
    <t>t1615</t>
  </si>
  <si>
    <t>t1625</t>
  </si>
  <si>
    <t>t1635</t>
  </si>
  <si>
    <t>t1645</t>
  </si>
  <si>
    <t>t1665</t>
  </si>
  <si>
    <t>t1676</t>
  </si>
  <si>
    <t>t1626</t>
  </si>
  <si>
    <t>t1646</t>
  </si>
  <si>
    <t>t1656</t>
  </si>
  <si>
    <t>t1636</t>
  </si>
  <si>
    <t>t1666</t>
  </si>
  <si>
    <t>t1677</t>
  </si>
  <si>
    <t>t1627</t>
  </si>
  <si>
    <t>t1657</t>
  </si>
  <si>
    <t>t1617</t>
  </si>
  <si>
    <t>t1637</t>
  </si>
  <si>
    <t>t1647</t>
  </si>
  <si>
    <t>t1667</t>
  </si>
  <si>
    <t>t1678</t>
  </si>
  <si>
    <t>t1628</t>
  </si>
  <si>
    <t>t1658</t>
  </si>
  <si>
    <t>t1618</t>
  </si>
  <si>
    <t>t1638</t>
  </si>
  <si>
    <t>t1648</t>
  </si>
  <si>
    <t>t1668</t>
  </si>
  <si>
    <t>t1679</t>
  </si>
  <si>
    <t>t1629</t>
  </si>
  <si>
    <t>t1659</t>
  </si>
  <si>
    <t>t1619</t>
  </si>
  <si>
    <t>t1639</t>
  </si>
  <si>
    <t>t1649</t>
  </si>
  <si>
    <t>t1669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</si>
  <si>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</si>
  <si>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</si>
  <si>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</si>
  <si>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</si>
  <si>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</si>
  <si>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</si>
  <si>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</si>
  <si>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</si>
  <si>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</si>
  <si>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t4320</t>
  </si>
  <si>
    <t>t4311</t>
  </si>
  <si>
    <t>t4321</t>
  </si>
  <si>
    <t>t4312</t>
  </si>
  <si>
    <t>t4322</t>
  </si>
  <si>
    <t>t4313</t>
  </si>
  <si>
    <t>t4323</t>
  </si>
  <si>
    <t>t4314</t>
  </si>
  <si>
    <t>t4324</t>
  </si>
  <si>
    <t>t4315</t>
  </si>
  <si>
    <t>t4325</t>
  </si>
  <si>
    <t>t4317</t>
  </si>
  <si>
    <t>t4327</t>
  </si>
  <si>
    <t>t4318</t>
  </si>
  <si>
    <t>t4310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</si>
  <si>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</si>
  <si>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</si>
  <si>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</si>
  <si>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</si>
  <si>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</si>
  <si>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</si>
  <si>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</si>
  <si>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</si>
  <si>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</si>
  <si>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t5907</t>
  </si>
  <si>
    <t>t4326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</si>
  <si>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</si>
  <si>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</si>
  <si>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</si>
  <si>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</si>
  <si>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</si>
  <si>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</si>
  <si>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</si>
  <si>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</si>
  <si>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</si>
  <si>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</si>
  <si>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</si>
  <si>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</si>
  <si>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</si>
  <si>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</si>
  <si>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</si>
  <si>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</si>
  <si>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</si>
  <si>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t4403</t>
  </si>
  <si>
    <t>t4404</t>
  </si>
  <si>
    <t>t4405</t>
  </si>
  <si>
    <t>t4406</t>
  </si>
  <si>
    <t>t4407</t>
  </si>
  <si>
    <t>t4408</t>
  </si>
  <si>
    <t>t4409</t>
  </si>
  <si>
    <t>t4402</t>
  </si>
  <si>
    <t>7525432125011914</t>
  </si>
  <si>
    <t>7525432125011916</t>
  </si>
  <si>
    <t>7525432125011897</t>
  </si>
  <si>
    <t>7525432125011917</t>
  </si>
  <si>
    <t>7525432125012036</t>
  </si>
  <si>
    <t>7525432125011923</t>
  </si>
  <si>
    <t>7525432125011918</t>
  </si>
  <si>
    <t>7525432125011919</t>
  </si>
  <si>
    <t>7525432125011921</t>
  </si>
  <si>
    <t>7525432125011922</t>
  </si>
  <si>
    <t>7525432125012037</t>
  </si>
  <si>
    <t>7525432125011925</t>
  </si>
  <si>
    <t>7525432125011926</t>
  </si>
  <si>
    <t>7525432125011928</t>
  </si>
  <si>
    <t>7525432125011931</t>
  </si>
  <si>
    <t>7525432125011933</t>
  </si>
  <si>
    <t>7525432125011935</t>
  </si>
  <si>
    <t>7525432125011936</t>
  </si>
  <si>
    <t>7525432125011937</t>
  </si>
  <si>
    <t>7525432125011939</t>
  </si>
  <si>
    <t>7525432125011940</t>
  </si>
  <si>
    <t>7525432125011941</t>
  </si>
  <si>
    <t>7525432125011944</t>
  </si>
  <si>
    <t>7525432125011945</t>
  </si>
  <si>
    <t>7525432125011946</t>
  </si>
  <si>
    <t>7525432125011947</t>
  </si>
  <si>
    <t>7525432125011948</t>
  </si>
  <si>
    <t>7525432125011952</t>
  </si>
  <si>
    <t>7525432125011953</t>
  </si>
  <si>
    <t>7525432125011954</t>
  </si>
  <si>
    <t>7525432125011955</t>
  </si>
  <si>
    <t>7525432125011956</t>
  </si>
  <si>
    <t>7525432125011960</t>
  </si>
  <si>
    <t>7525432125011961</t>
  </si>
  <si>
    <t>7525432125011963</t>
  </si>
  <si>
    <t>7525432125011964</t>
  </si>
  <si>
    <t>7525432125011967</t>
  </si>
  <si>
    <t>7525432125011969</t>
  </si>
  <si>
    <t>7525432125011972</t>
  </si>
  <si>
    <t>7525432125011975</t>
  </si>
  <si>
    <t>7525432125011977</t>
  </si>
  <si>
    <t>7525432125012034</t>
  </si>
  <si>
    <t>7525432125011978</t>
  </si>
  <si>
    <t>7525432125011979</t>
  </si>
  <si>
    <t>7525432125011984</t>
  </si>
  <si>
    <t>7525432125011985</t>
  </si>
  <si>
    <t>7525432125011986</t>
  </si>
  <si>
    <t>7525432125011988</t>
  </si>
  <si>
    <t>7525432125011990</t>
  </si>
  <si>
    <t>7525432125011996</t>
  </si>
  <si>
    <t>7525432125012001</t>
  </si>
  <si>
    <t>7525432125012002</t>
  </si>
  <si>
    <t>7525432125012005</t>
  </si>
  <si>
    <t>7525432125012010</t>
  </si>
  <si>
    <t>7525432125012016</t>
  </si>
  <si>
    <t>7525432125012022</t>
  </si>
  <si>
    <t>7525432125012023</t>
  </si>
  <si>
    <t>7525432125012024</t>
  </si>
  <si>
    <t>7525432125012026</t>
  </si>
  <si>
    <t>7525432125012027</t>
  </si>
  <si>
    <t>7525432125012031</t>
  </si>
  <si>
    <t>7525432125012032</t>
  </si>
  <si>
    <t>k có</t>
  </si>
  <si>
    <t>Anh Khánh
(trường CĐ)</t>
  </si>
  <si>
    <t>check lại</t>
  </si>
  <si>
    <t>CÔNG TY CỔ PHẦN PHÁT TRIỂN HẠ TẦNG KỸ THUẬT BECAMEX-BÌNH PHƯỚC(30 - TDC-31)</t>
  </si>
  <si>
    <t>CÔNG TY CỔ PHẦN PHÁT TRIỂN HẠ TẦNG KỸ THUẬT BECAMEX-BÌNH PHƯỚC(31 - TDC-31)</t>
  </si>
  <si>
    <t>CÔNG TY CỔ PHẦN PHÁT TRIỂN HẠ TẦNG KỸ THUẬT BECAMEX-BÌNH PHƯỚC(32 - TDC-31)</t>
  </si>
  <si>
    <t>CÔNG TY CỔ PHẦN PHÁT TRIỂN HẠ TẦNG KỸ THUẬT BECAMEX-BÌNH PHƯỚC(33 - TDC-31)</t>
  </si>
  <si>
    <t>CÔNG TY CỔ PHẦN PHÁT TRIỂN HẠ TẦNG KỸ THUẬT BECAMEX-BÌNH PHƯỚC(34 - TDC-31)</t>
  </si>
  <si>
    <t>CÔNG TY CỔ PHẦN PHÁT TRIỂN HẠ TẦNG KỸ THUẬT BECAMEX-BÌNH PHƯỚC(35 - TDC-31)</t>
  </si>
  <si>
    <t>CÔNG TY CỔ PHẦN PHÁT TRIỂN HẠ TẦNG KỸ THUẬT BECAMEX-BÌNH PHƯỚC(36 - TDC-31)</t>
  </si>
  <si>
    <t>CÔNG TY CỔ PHẦN PHÁT TRIỂN HẠ TẦNG KỸ THUẬT BECAMEX-BÌNH PHƯỚC(37 - TDC-31)</t>
  </si>
  <si>
    <t>CÔNG TY CỔ PHẦN PHÁT TRIỂN HẠ TẦNG KỸ THUẬT BECAMEX-BÌNH PHƯỚC(38 - TDC-31)</t>
  </si>
  <si>
    <t>CÔNG TY CỔ PHẦN PHÁT TRIỂN HẠ TẦNG KỸ THUẬT BECAMEX-BÌNH PHƯỚC(39 - TDC-31)</t>
  </si>
  <si>
    <t>CÔNG TY CỔ PHẦN PHÁT TRIỂN HẠ TẦNG KỸ THUẬT BECAMEX-BÌNH PHƯỚC(40 - TDC-31)</t>
  </si>
  <si>
    <t>CÔNG TY CỔ PHẦN PHÁT TRIỂN HẠ TẦNG KỸ THUẬT BECAMEX-BÌNH PHƯỚC(41 - TDC-31)</t>
  </si>
  <si>
    <t>CÔNG TY CỔ PHẦN PHÁT TRIỂN HẠ TẦNG KỸ THUẬT BECAMEX-BÌNH PHƯỚC(42 - TDC-31)</t>
  </si>
  <si>
    <t>CÔNG TY CỔ PHẦN PHÁT TRIỂN HẠ TẦNG KỸ THUẬT BECAMEX-BÌNH PHƯỚC(43 - TDC-31)</t>
  </si>
  <si>
    <t>CÔNG TY CỔ PHẦN PHÁT TRIỂN HẠ TẦNG KỸ THUẬT BECAMEX-BÌNH PHƯỚC(44 - TDC-31)</t>
  </si>
  <si>
    <t>CÔNG TY CỔ PHẦN PHÁT TRIỂN HẠ TẦNG KỸ THUẬT BECAMEX-BÌNH PHƯỚC(45 - TDC-31)</t>
  </si>
  <si>
    <t>CÔNG TY CỔ PHẦN PHÁT TRIỂN HẠ TẦNG KỸ THUẬT BECAMEX-BÌNH PHƯỚC(46 - TDC-31)</t>
  </si>
  <si>
    <t>CÔNG TY CỔ PHẦN PHÁT TRIỂN HẠ TẦNG KỸ THUẬT BECAMEX-BÌNH PHƯỚC(47 - TDC-31)</t>
  </si>
  <si>
    <t>CÔNG TY CỔ PHẦN PHÁT TRIỂN HẠ TẦNG KỸ THUẬT BECAMEX-BÌNH PHƯỚC(48 - TDC-31)</t>
  </si>
  <si>
    <t>CÔNG TY CỔ PHẦN PHÁT TRIỂN HẠ TẦNG KỸ THUẬT BECAMEX-BÌNH PHƯỚC(49 - TDC-31)</t>
  </si>
  <si>
    <t>CÔNG TY CỔ PHẦN PHÁT TRIỂN HẠ TẦNG KỸ THUẬT BECAMEX-BÌNH PHƯỚC(50 - TDC-31)</t>
  </si>
  <si>
    <t>CÔNG TY CỔ PHẦN PHÁT TRIỂN HẠ TẦNG KỸ THUẬT BECAMEX-BÌNH PHƯỚC(51 - TDC-31)</t>
  </si>
  <si>
    <t>CÔNG TY CỔ PHẦN PHÁT TRIỂN HẠ TẦNG KỸ THUẬT BECAMEX-BÌNH PHƯỚC(52 - TDC-31)</t>
  </si>
  <si>
    <t>CÔNG TY CỔ PHẦN PHÁT TRIỂN HẠ TẦNG KỸ THUẬT BECAMEX-BÌNH PHƯỚC(53 - TDC-31)</t>
  </si>
  <si>
    <t>CÔNG TY CỔ PHẦN PHÁT TRIỂN HẠ TẦNG KỸ THUẬT BECAMEX-BÌNH PHƯỚC(54 - TDC-31)</t>
  </si>
  <si>
    <t>CÔNG TY CỔ PHẦN PHÁT TRIỂN HẠ TẦNG KỸ THUẬT BECAMEX-BÌNH PHƯỚC(55 - TDC-31)</t>
  </si>
  <si>
    <t>CÔNG TY CỔ PHẦN PHÁT TRIỂN HẠ TẦNG KỸ THUẬT BECAMEX-BÌNH PHƯỚC(56 - TDC-31)</t>
  </si>
  <si>
    <t>CÔNG TY CỔ PHẦN PHÁT TRIỂN HẠ TẦNG KỸ THUẬT BECAMEX-BÌNH PHƯỚC(57 - TDC-31)</t>
  </si>
  <si>
    <t>CÔNG TY CỔ PHẦN PHÁT TRIỂN HẠ TẦNG KỸ THUẬT BECAMEX-BÌNH PHƯỚC(58 - TDC-31)</t>
  </si>
  <si>
    <t>CÔNG TY CỔ PHẦN PHÁT TRIỂN HẠ TẦNG KỸ THUẬT BECAMEX-BÌNH PHƯỚC(59 - TDC-31)</t>
  </si>
  <si>
    <t>Căn 35 - TĐC19</t>
  </si>
  <si>
    <t>Căn 36 - TĐC19</t>
  </si>
  <si>
    <t>Căn 40 - TĐC19</t>
  </si>
  <si>
    <t>Căn 41 - TĐC19</t>
  </si>
  <si>
    <t>Căn 42 - TĐC19</t>
  </si>
  <si>
    <t>Căn 43 - TĐC19</t>
  </si>
  <si>
    <t>Căn 44 - TĐC19</t>
  </si>
  <si>
    <t>Căn 45 - TĐC19</t>
  </si>
  <si>
    <t>Căn 46 - TĐC19</t>
  </si>
  <si>
    <t>Căn 47 - TĐC19</t>
  </si>
  <si>
    <t>Căn 48-49 - TĐC19</t>
  </si>
  <si>
    <t>Căn 50-51 - TĐC19</t>
  </si>
  <si>
    <t>Căn 52-53 - TĐC19</t>
  </si>
  <si>
    <t>Căn 54-55 - TĐC19</t>
  </si>
  <si>
    <t>Căn 56-57 - TĐC19</t>
  </si>
  <si>
    <t>Căn 58-59 - TĐC19</t>
  </si>
  <si>
    <t>Căn 60-61 - TĐC19</t>
  </si>
  <si>
    <t>Căn 62-63 - TĐC19</t>
  </si>
  <si>
    <t>Căn 64-65 - TĐC19</t>
  </si>
  <si>
    <t>Căn 66-67 - TĐC19</t>
  </si>
  <si>
    <t>Căn 68 - TĐC19</t>
  </si>
  <si>
    <t>Căn 69 - TĐC19</t>
  </si>
  <si>
    <t>Căn 85 - TĐC19</t>
  </si>
  <si>
    <t>Căn 70 - TĐC19</t>
  </si>
  <si>
    <t>Căn 71 - TĐC19</t>
  </si>
  <si>
    <t>Căn 95 - TĐC19</t>
  </si>
  <si>
    <t>Căn 102 - TĐC19</t>
  </si>
  <si>
    <t>Căn 96 - TĐC19</t>
  </si>
  <si>
    <t>Căn 75 - TĐC19</t>
  </si>
  <si>
    <t>Căn 90 - TĐC19</t>
  </si>
  <si>
    <t>Căn 91 - TĐC19</t>
  </si>
  <si>
    <t>Căn 72 - TĐC19</t>
  </si>
  <si>
    <t>Căn 80 - TĐC19</t>
  </si>
  <si>
    <t>Căn 103 - TĐC19</t>
  </si>
  <si>
    <t>Căn 97 - TĐC19</t>
  </si>
  <si>
    <t>Căn 98 - TĐC19</t>
  </si>
  <si>
    <t>Căn 73 - TĐC19</t>
  </si>
  <si>
    <t>Căn 100 - TĐC19</t>
  </si>
  <si>
    <t>Căn 86 - TĐC19</t>
  </si>
  <si>
    <t>Căn 76 - TĐC19</t>
  </si>
  <si>
    <t>Căn 81 - TĐC19</t>
  </si>
  <si>
    <t>Căn 104 - TĐC19</t>
  </si>
  <si>
    <t>Căn 84 - TĐC19</t>
  </si>
  <si>
    <t>Căn 87 - TĐC19</t>
  </si>
  <si>
    <t>Căn 105 - TĐC19</t>
  </si>
  <si>
    <t>Căn 92 - TĐC19</t>
  </si>
  <si>
    <t>Căn 77 - TĐC19</t>
  </si>
  <si>
    <t>Căn 101 - TĐC19</t>
  </si>
  <si>
    <t>Căn 93 - TĐC19</t>
  </si>
  <si>
    <t>Căn 74 - TĐC19</t>
  </si>
  <si>
    <t>Căn 82 - TĐC19</t>
  </si>
  <si>
    <t>Căn 94 - TĐC19</t>
  </si>
  <si>
    <t>Căn 88 - TĐC19</t>
  </si>
  <si>
    <t>Căn 99 - TĐC19</t>
  </si>
  <si>
    <t>Căn 83 - TĐC19</t>
  </si>
  <si>
    <t>Căn 79 - TĐC19</t>
  </si>
  <si>
    <t>Căn 78 - TĐC19</t>
  </si>
  <si>
    <t>Căn 89 - TĐC19</t>
  </si>
  <si>
    <t>Căn 2 - TĐC31</t>
  </si>
  <si>
    <t>Căn 3 - TĐC31</t>
  </si>
  <si>
    <t>Căn 4 - TĐC31</t>
  </si>
  <si>
    <t>Căn 5 - TĐC31</t>
  </si>
  <si>
    <t>Căn 6 - TĐC31</t>
  </si>
  <si>
    <t>Căn 7 - TĐC31</t>
  </si>
  <si>
    <t>Căn 8 - TĐC31</t>
  </si>
  <si>
    <t>Căn 9 - TĐC31</t>
  </si>
  <si>
    <t>Căn 10 - TĐC31</t>
  </si>
  <si>
    <t>Căn 11 - TĐC31</t>
  </si>
  <si>
    <t>Căn 12 - TĐC31</t>
  </si>
  <si>
    <t>Căn 13 - TĐC31</t>
  </si>
  <si>
    <t>Căn 14 - TĐC31</t>
  </si>
  <si>
    <t>Căn 15 - TĐC31</t>
  </si>
  <si>
    <t>Căn 16 - TĐC31</t>
  </si>
  <si>
    <t>Căn 17 - TĐC31</t>
  </si>
  <si>
    <t>Căn 18 - TĐC31</t>
  </si>
  <si>
    <t>Căn 19 - TĐC31</t>
  </si>
  <si>
    <t>Căn 20 - TĐC31</t>
  </si>
  <si>
    <t>Căn 21 - TĐC31</t>
  </si>
  <si>
    <t>Căn 22 - TĐC31</t>
  </si>
  <si>
    <t>Căn 23 - TĐC31</t>
  </si>
  <si>
    <t>Căn 24 - TĐC31</t>
  </si>
  <si>
    <t>Căn 25 - TĐC31</t>
  </si>
  <si>
    <t>Căn 30 - TĐC31</t>
  </si>
  <si>
    <t>Căn 31 - TĐC31</t>
  </si>
  <si>
    <t>Căn 32 - TĐC31</t>
  </si>
  <si>
    <t>Căn 33 - TĐC31</t>
  </si>
  <si>
    <t>Căn 34 - TĐC31</t>
  </si>
  <si>
    <t>Căn 35 - TĐC31</t>
  </si>
  <si>
    <t>Căn 36 - TĐC31</t>
  </si>
  <si>
    <t>Căn 37 - TĐC31</t>
  </si>
  <si>
    <t>Căn 38 - TĐC31</t>
  </si>
  <si>
    <t>Căn 39 - TĐC31</t>
  </si>
  <si>
    <t>Căn 40 - TĐC31</t>
  </si>
  <si>
    <t>Căn 41 - TĐC31</t>
  </si>
  <si>
    <t>Căn 42 - TĐC31</t>
  </si>
  <si>
    <t>Căn 43 - TĐC31</t>
  </si>
  <si>
    <t>Căn 44 - TĐC31</t>
  </si>
  <si>
    <t>Căn 45 - TĐC31</t>
  </si>
  <si>
    <t>Căn 46 - TĐC31</t>
  </si>
  <si>
    <t>Căn 47 - TĐC31</t>
  </si>
  <si>
    <t>Căn 48 - TĐC31</t>
  </si>
  <si>
    <t>Căn 49 - TĐC31</t>
  </si>
  <si>
    <t>Căn 50 - TĐC31</t>
  </si>
  <si>
    <t>Căn 51 - TĐC31</t>
  </si>
  <si>
    <t>Căn 52 - TĐC31</t>
  </si>
  <si>
    <t>Căn 53 - TĐC31</t>
  </si>
  <si>
    <t>Căn 54 - TĐC31</t>
  </si>
  <si>
    <t>Căn 55 - TĐC31</t>
  </si>
  <si>
    <t>Căn 56 - TĐC31</t>
  </si>
  <si>
    <t>Căn 57 - TĐC31</t>
  </si>
  <si>
    <t>Căn 58 - TĐC31</t>
  </si>
  <si>
    <t>Căn 59 - TĐC31</t>
  </si>
  <si>
    <t>Căn 01 - TĐC32</t>
  </si>
  <si>
    <t>Căn 02 - TĐC32</t>
  </si>
  <si>
    <t>Căn 03 - TĐC32</t>
  </si>
  <si>
    <t>Căn 04 - TĐC32</t>
  </si>
  <si>
    <t>Căn 05 - TĐC32</t>
  </si>
  <si>
    <t>Căn 06 - TĐC32</t>
  </si>
  <si>
    <t>Căn 07 - TĐC32</t>
  </si>
  <si>
    <t>Căn 08 - TĐC32</t>
  </si>
  <si>
    <t>Căn 09 - TĐC32</t>
  </si>
  <si>
    <t>Căn 10 - TĐC32</t>
  </si>
  <si>
    <t>Căn 11 - TĐC32</t>
  </si>
  <si>
    <t>Căn 12 - TĐC32</t>
  </si>
  <si>
    <t>Căn 12A - TĐC32</t>
  </si>
  <si>
    <t>Căn 14 - TĐC32</t>
  </si>
  <si>
    <t>Căn 15 - TĐC32</t>
  </si>
  <si>
    <t>Căn 16 - TĐC32</t>
  </si>
  <si>
    <t>Căn 17 - TĐC32</t>
  </si>
  <si>
    <t>Căn 18 - TĐC32</t>
  </si>
  <si>
    <t>Căn 19 - TĐC32</t>
  </si>
  <si>
    <t>Căn 20 - TĐC32</t>
  </si>
  <si>
    <t>Căn 21 - TĐC32</t>
  </si>
  <si>
    <t>Căn 22 - TĐC32</t>
  </si>
  <si>
    <t>Căn 2 - TĐC44</t>
  </si>
  <si>
    <t xml:space="preserve"> Căn 3 - TĐC44</t>
  </si>
  <si>
    <t>Căn 4 - TĐC44</t>
  </si>
  <si>
    <t>Căn 5 - TĐC44</t>
  </si>
  <si>
    <t>Căn 6 - TĐC44</t>
  </si>
  <si>
    <t>Căn 7 - TĐC44</t>
  </si>
  <si>
    <t>Căn 8 - TĐC44</t>
  </si>
  <si>
    <t>Căn 9 - TĐC44</t>
  </si>
  <si>
    <t>Căn 10 - TĐC44</t>
  </si>
  <si>
    <t>Căn 11 - TĐC44</t>
  </si>
  <si>
    <t>Căn 12 - TĐC44</t>
  </si>
  <si>
    <t>Căn 12A - TĐC44</t>
  </si>
  <si>
    <t>Căn 14 - TĐC44</t>
  </si>
  <si>
    <t>Căn 15 - TĐC44</t>
  </si>
  <si>
    <t>Căn 16 - TĐC44</t>
  </si>
  <si>
    <t>Căn 17 - TĐC44</t>
  </si>
  <si>
    <t>Căn 18 - TĐC44</t>
  </si>
  <si>
    <t>Căn 19 - TĐC44</t>
  </si>
  <si>
    <t>Căn 20 - TĐC44</t>
  </si>
  <si>
    <t>Căn 21 - TĐC44</t>
  </si>
  <si>
    <t>Căn 22 - TĐC44</t>
  </si>
  <si>
    <t>Căn 23 - TĐC44</t>
  </si>
  <si>
    <t>Căn 24 - TĐC44</t>
  </si>
  <si>
    <t>Căn 25 - TĐC44</t>
  </si>
  <si>
    <t>Căn 26 - TĐC44</t>
  </si>
  <si>
    <t>Căn 01 - TĐC43</t>
  </si>
  <si>
    <t>Căn 02 - TĐC43</t>
  </si>
  <si>
    <t>Căn 03 - TĐC43</t>
  </si>
  <si>
    <t>Căn 04 - TĐC43</t>
  </si>
  <si>
    <t>Căn 05 - TĐC43</t>
  </si>
  <si>
    <t>Căn 06 - TĐC43</t>
  </si>
  <si>
    <t>Căn 07 - TĐC43</t>
  </si>
  <si>
    <t>Căn 08 - TĐC43</t>
  </si>
  <si>
    <t>Căn 09 - TĐC43</t>
  </si>
  <si>
    <t>Căn 10 - TĐC43</t>
  </si>
  <si>
    <t>Căn 11 - TĐC43</t>
  </si>
  <si>
    <t>Căn 12 - TĐC43</t>
  </si>
  <si>
    <t>Căn 13 - TĐC43</t>
  </si>
  <si>
    <t>Căn 14 - TĐC43</t>
  </si>
  <si>
    <t>Căn 15 - TĐC43</t>
  </si>
  <si>
    <t>Căn 16 - TĐC43</t>
  </si>
  <si>
    <t>Căn 17 - TĐC43</t>
  </si>
  <si>
    <t>Căn 18 - TĐC43</t>
  </si>
  <si>
    <t>Căn 19 - TĐC43</t>
  </si>
  <si>
    <t>Căn 20 - TĐC43</t>
  </si>
  <si>
    <t>Căn 21 - TĐC43</t>
  </si>
  <si>
    <t>Căn 22 - TĐC43</t>
  </si>
  <si>
    <t>Căn 23 - TĐC43</t>
  </si>
  <si>
    <t>Căn 25 - TĐC43</t>
  </si>
  <si>
    <t>Căn 24 - TĐC43</t>
  </si>
  <si>
    <t>Căn 27 - TĐC43</t>
  </si>
  <si>
    <t>Căn 26 - TĐC43</t>
  </si>
  <si>
    <t>Căn 07 - TĐC59</t>
  </si>
  <si>
    <t>Căn 72 - AM15</t>
  </si>
  <si>
    <t>Căn 73 - AM15</t>
  </si>
  <si>
    <t>Căn 80 - AM15</t>
  </si>
  <si>
    <t>Căn 81 - AM16</t>
  </si>
  <si>
    <t>Căn 79 - AM16</t>
  </si>
  <si>
    <t>Căn 77 - AM16</t>
  </si>
  <si>
    <t>Căn 80 - AM16</t>
  </si>
  <si>
    <t>Căn 78 - AM16</t>
  </si>
  <si>
    <t>Căn 82 - AM16</t>
  </si>
  <si>
    <t>Căn 76 - AM16</t>
  </si>
  <si>
    <t>Căn 21 - AM16</t>
  </si>
  <si>
    <t>Căn 22 - AM16</t>
  </si>
  <si>
    <t>Căn 23 - AM16</t>
  </si>
  <si>
    <t>Căn 24 - AM16</t>
  </si>
  <si>
    <t>Căn 26 - AM16</t>
  </si>
  <si>
    <t>Căn 27 - AM16</t>
  </si>
  <si>
    <t>Căn 28 - AM16</t>
  </si>
  <si>
    <t>Căn 29 - AM16</t>
  </si>
  <si>
    <t>Căn 30 - AM16</t>
  </si>
  <si>
    <t>Căn 32 - AM16</t>
  </si>
  <si>
    <t>Căn 33 - AM16</t>
  </si>
  <si>
    <t>Căn 46 - AM16</t>
  </si>
  <si>
    <t>Căn 75 - AM16</t>
  </si>
  <si>
    <t>Căn 74 - AM16</t>
  </si>
  <si>
    <t>Căn 73 - AM16</t>
  </si>
  <si>
    <t>Căn 61 - AM16</t>
  </si>
  <si>
    <t>Căn 60 - AM16</t>
  </si>
  <si>
    <t>Căn 58 - AM16</t>
  </si>
  <si>
    <t>Căn 57 - AM16</t>
  </si>
  <si>
    <t>Căn 56 - AM16</t>
  </si>
  <si>
    <t>Căn 55 - AM16</t>
  </si>
  <si>
    <t>Căn 54 - AM16</t>
  </si>
  <si>
    <t>Căn 53 - AM16</t>
  </si>
  <si>
    <t>Căn 59 - AM16</t>
  </si>
  <si>
    <t>Căn 52 - AM16</t>
  </si>
  <si>
    <t>Căn 51 - AM16</t>
  </si>
  <si>
    <t>Căn 50 - AM16</t>
  </si>
  <si>
    <t>Căn 49 - AM16</t>
  </si>
  <si>
    <t>Căn 48 - AM16</t>
  </si>
  <si>
    <t>Căn 47 - AM16</t>
  </si>
  <si>
    <t>Căn 45 - AM16</t>
  </si>
  <si>
    <t>Căn 44 - AM16</t>
  </si>
  <si>
    <t>Căn 43 - AM16</t>
  </si>
  <si>
    <t>Căn 42 - AM16</t>
  </si>
  <si>
    <t>Căn 01 - AM16</t>
  </si>
  <si>
    <t>Căn 20 - AM16</t>
  </si>
  <si>
    <t>Căn 19 - AM16</t>
  </si>
  <si>
    <t>Căn 18 - AM16</t>
  </si>
  <si>
    <t>Căn 17 - AM16</t>
  </si>
  <si>
    <t>Căn 16 - AM16</t>
  </si>
  <si>
    <t>Căn 15 - AM16</t>
  </si>
  <si>
    <t>Căn 14 - AM16</t>
  </si>
  <si>
    <t>Căn 13 - AM16</t>
  </si>
  <si>
    <t>Căn 12 - AM16</t>
  </si>
  <si>
    <t>Căn 11 - AM16</t>
  </si>
  <si>
    <t>Căn 10 - AM16</t>
  </si>
  <si>
    <t>Căn 09 - AM16</t>
  </si>
  <si>
    <t>Căn 08 - AM16</t>
  </si>
  <si>
    <t>Căn 07 - AM16</t>
  </si>
  <si>
    <t>Căn 06 - AM16</t>
  </si>
  <si>
    <t>Căn 05 - AM16</t>
  </si>
  <si>
    <t>Căn 04 - AM16</t>
  </si>
  <si>
    <t>Căn 03 - AM16</t>
  </si>
  <si>
    <t>Căn 02 - AM16</t>
  </si>
  <si>
    <t>Căn 71 - AM16</t>
  </si>
  <si>
    <t>Căn 25 - AM16</t>
  </si>
  <si>
    <t>Căn 31 - AM16</t>
  </si>
  <si>
    <t>Căn 34 - AM16</t>
  </si>
  <si>
    <t>Căn 35 - AM16</t>
  </si>
  <si>
    <t>Căn 36 - AM16</t>
  </si>
  <si>
    <t>Căn 37 - AM16</t>
  </si>
  <si>
    <t>Căn 38 - AM16</t>
  </si>
  <si>
    <t>Căn 39 - AM16</t>
  </si>
  <si>
    <t>Căn 40 - AM16</t>
  </si>
  <si>
    <t>Căn 41 - AM16</t>
  </si>
  <si>
    <t>Căn 72 - AM16</t>
  </si>
  <si>
    <t>Căn 70 - AM16</t>
  </si>
  <si>
    <t>Căn 69 - AM16</t>
  </si>
  <si>
    <t>Căn 68 - AM16</t>
  </si>
  <si>
    <t>Căn 67 - AM16</t>
  </si>
  <si>
    <t>Căn 66 - AM16</t>
  </si>
  <si>
    <t>Căn 65 - AM16</t>
  </si>
  <si>
    <t>Căn 64 - AM16</t>
  </si>
  <si>
    <t>Căn 63 - AM16</t>
  </si>
  <si>
    <t>Căn 62 - AM16</t>
  </si>
  <si>
    <t>7525432125012035</t>
  </si>
  <si>
    <t>7525432125012029</t>
  </si>
  <si>
    <t>7525432125012028</t>
  </si>
  <si>
    <t>7525432125012009</t>
  </si>
  <si>
    <t>7525432125012000</t>
  </si>
  <si>
    <t>7525432125011998</t>
  </si>
  <si>
    <t>7525432125011997</t>
  </si>
  <si>
    <t>7525432125011992</t>
  </si>
  <si>
    <t>7525432125011987</t>
  </si>
  <si>
    <t>7525432125011983</t>
  </si>
  <si>
    <t>7525432125011980</t>
  </si>
  <si>
    <t>7525432125011974</t>
  </si>
  <si>
    <t>7525432125011958</t>
  </si>
  <si>
    <t>7525432125011951</t>
  </si>
  <si>
    <t>7525432125011943</t>
  </si>
  <si>
    <t>7525432125011938</t>
  </si>
  <si>
    <t>7525432125011929</t>
  </si>
  <si>
    <t>7525432125011927</t>
  </si>
  <si>
    <t>7525432125011920</t>
  </si>
  <si>
    <t>7525432125012041</t>
  </si>
  <si>
    <t>7525432125012040</t>
  </si>
  <si>
    <t>7525432125012039</t>
  </si>
  <si>
    <t>7525432125012038</t>
  </si>
  <si>
    <t>7525432125011912</t>
  </si>
  <si>
    <t>2025/11</t>
  </si>
  <si>
    <t>2025/10</t>
  </si>
  <si>
    <t>2025/9</t>
  </si>
  <si>
    <t>2025/8</t>
  </si>
  <si>
    <t>2025/7</t>
  </si>
  <si>
    <t>2025/6</t>
  </si>
  <si>
    <t>2025/5</t>
  </si>
  <si>
    <t>2025/4</t>
  </si>
  <si>
    <t>2025/3</t>
  </si>
  <si>
    <t>2025/2</t>
  </si>
  <si>
    <t>2025/1</t>
  </si>
  <si>
    <t>7525432125012003</t>
  </si>
  <si>
    <t>7525432125011993</t>
  </si>
  <si>
    <t>7525432125011989</t>
  </si>
  <si>
    <t>7525432125011932</t>
  </si>
  <si>
    <t>7525432125011924</t>
  </si>
  <si>
    <t>0967403062</t>
  </si>
  <si>
    <t>679 (C.Dũng)</t>
  </si>
  <si>
    <t>0934073643</t>
  </si>
  <si>
    <t>7525432125012033</t>
  </si>
  <si>
    <t>Phuong97*</t>
  </si>
  <si>
    <t>7525432125012030</t>
  </si>
  <si>
    <t>7525432125012025</t>
  </si>
  <si>
    <t>7525432125012021</t>
  </si>
  <si>
    <t>7525432125012020</t>
  </si>
  <si>
    <t>7525432125012019</t>
  </si>
  <si>
    <t>7525432125012018</t>
  </si>
  <si>
    <t>7525432125012017</t>
  </si>
  <si>
    <t>7525432125012015</t>
  </si>
  <si>
    <t>7525432125012014</t>
  </si>
  <si>
    <t>7525432125012013</t>
  </si>
  <si>
    <t>7525432125012012</t>
  </si>
  <si>
    <t>7525432125012011</t>
  </si>
  <si>
    <t>7525432125012008</t>
  </si>
  <si>
    <t>7525432125012007</t>
  </si>
  <si>
    <t>7525432125012006</t>
  </si>
  <si>
    <t>7525432125012004</t>
  </si>
  <si>
    <t>7525432125011999</t>
  </si>
  <si>
    <t>7525432125011995</t>
  </si>
  <si>
    <t>7525432125011994</t>
  </si>
  <si>
    <t>7525432125011991</t>
  </si>
  <si>
    <t>7525432125011982</t>
  </si>
  <si>
    <t>7525432125011981</t>
  </si>
  <si>
    <t>7525432125011976</t>
  </si>
  <si>
    <t>7525432125011973</t>
  </si>
  <si>
    <t>7525432125011971</t>
  </si>
  <si>
    <t>7525432125011970</t>
  </si>
  <si>
    <t>7525432125011968</t>
  </si>
  <si>
    <t>7525432125011966</t>
  </si>
  <si>
    <t>7525432125011965</t>
  </si>
  <si>
    <t>7525432125011962</t>
  </si>
  <si>
    <t>7525432125011959</t>
  </si>
  <si>
    <t>7525432125011957</t>
  </si>
  <si>
    <t>7525432125011950</t>
  </si>
  <si>
    <t>7525432125011949</t>
  </si>
  <si>
    <t>7525432125011942</t>
  </si>
  <si>
    <t>7525432125011934</t>
  </si>
  <si>
    <t>7525432125011930</t>
  </si>
  <si>
    <t>7525432125011905</t>
  </si>
  <si>
    <t>7525432125011902</t>
  </si>
  <si>
    <t>7525432125011900</t>
  </si>
  <si>
    <t>7525432125011899</t>
  </si>
  <si>
    <t>7525432125011895</t>
  </si>
  <si>
    <t>7525432125011888</t>
  </si>
  <si>
    <t>2025/12</t>
  </si>
  <si>
    <t>không có</t>
  </si>
  <si>
    <t>-</t>
  </si>
  <si>
    <t>NMXLNT khu B</t>
  </si>
  <si>
    <t>ATMTDC31</t>
  </si>
  <si>
    <t>Đèn tín hiệu giao thông N3B</t>
  </si>
  <si>
    <t>VP Đội cơ giới Khu B (cũ)</t>
  </si>
  <si>
    <t>Đội PCCC&amp;CNCH đường N13</t>
  </si>
  <si>
    <t>Tưới cây xanh N11-4</t>
  </si>
  <si>
    <t>Tưới cây xanh N11-2</t>
  </si>
  <si>
    <t>Tưới cây xanh N11-1</t>
  </si>
  <si>
    <t>Chốt BV - Barie đầu N3B</t>
  </si>
  <si>
    <t>Chốt BV cuối N11</t>
  </si>
  <si>
    <t xml:space="preserve">Chốt BV N5B đầu khu A </t>
  </si>
  <si>
    <t>VP Đội BV Căn 79 AM15</t>
  </si>
  <si>
    <t>Tưới cây xanh N3B-D3B</t>
  </si>
  <si>
    <t>Tưới cây xanh N3B-D1B</t>
  </si>
  <si>
    <t xml:space="preserve"> ATM đường D1B</t>
  </si>
  <si>
    <t>Giao anh Lợi</t>
  </si>
  <si>
    <t>Chiếu sáng N9 (D8M-D9)</t>
  </si>
  <si>
    <t>Chiếu sáng D2 (N11-N5M)</t>
  </si>
  <si>
    <t>Chiếu sáng N8 (D8M-D9)</t>
  </si>
  <si>
    <t>Chiếu sáng N9 (D8-D8M)</t>
  </si>
  <si>
    <t>Chiếu sáng N5M (D8M-D8M)</t>
  </si>
  <si>
    <t>Chiếu sáng N4B D3B D4B (KCN khu B)</t>
  </si>
  <si>
    <t>Chiếu sáng D7.1 (N1M-N3M)</t>
  </si>
  <si>
    <t>Chiếu sáng D7.2 (N9-N4M)</t>
  </si>
  <si>
    <t>Chiếu sáng N1B-N3B</t>
  </si>
  <si>
    <t>Chiếu sáng D1B KDC</t>
  </si>
  <si>
    <t>Chiếu sáng N3B</t>
  </si>
  <si>
    <t>Chiếu sáng D1B (D1B-N4B)</t>
  </si>
  <si>
    <t>Chiếu sáng N3</t>
  </si>
  <si>
    <t>Chiếu sáng D2B KCN (D2B-N4B)</t>
  </si>
  <si>
    <t>Chiếu sáng D3B KDC (N3B - D1B)</t>
  </si>
  <si>
    <t>2026/01</t>
  </si>
  <si>
    <t>Tòa nhà kính VP</t>
  </si>
  <si>
    <t xml:space="preserve"> BQLDA (Điểm giao N3B - T18)</t>
  </si>
  <si>
    <t xml:space="preserve"> TCS 2 đường N12B</t>
  </si>
  <si>
    <t>MUSTANG</t>
  </si>
  <si>
    <t>chưa cho thuê</t>
  </si>
  <si>
    <t>KIM TÍN</t>
  </si>
  <si>
    <t>KAIDI</t>
  </si>
  <si>
    <t>VMT</t>
  </si>
  <si>
    <t>YUXIN</t>
  </si>
  <si>
    <t>Giếng nước</t>
  </si>
  <si>
    <t>PB01050042352</t>
  </si>
  <si>
    <t>PB01050042353</t>
  </si>
  <si>
    <t>PB01050042354</t>
  </si>
  <si>
    <t>PB01050042355</t>
  </si>
  <si>
    <t>PB01050042356</t>
  </si>
  <si>
    <t>PB01050042357</t>
  </si>
  <si>
    <t>TCS nút giao N2B - D5B</t>
  </si>
  <si>
    <t>GK948250606</t>
  </si>
  <si>
    <t>TCS nút giao D3B-N2B</t>
  </si>
  <si>
    <t>GK948250608</t>
  </si>
  <si>
    <t>TCS nút giao D3B-N4</t>
  </si>
  <si>
    <t>GK948250610</t>
  </si>
  <si>
    <t>TCS nút giao N8B-D5</t>
  </si>
  <si>
    <t>GK948250611</t>
  </si>
  <si>
    <t>GK948250614</t>
  </si>
  <si>
    <t>TCS nút giao N11-D10M</t>
  </si>
  <si>
    <t>GK948250623</t>
  </si>
  <si>
    <t>TCS nút giao D3-N8B</t>
  </si>
  <si>
    <t>TCS nút giao D9M-N3M</t>
  </si>
  <si>
    <t>PB01050042358</t>
  </si>
  <si>
    <t>GK948250661</t>
  </si>
  <si>
    <t>2026/02</t>
  </si>
  <si>
    <t>ZHIWEI</t>
  </si>
  <si>
    <t>An Cường đồ gỗ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</si>
</sst>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 x14ac:knownFonts="1">
    <font>
      <sz val="13"/>
      <color theme="1"/>
      <name val="Times New Roman"/>
      <family val="2"/>
    </font>
    <font>
      <sz val="13"/>
      <color theme="1"/>
      <name val="Times New Roman"/>
      <family val="2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rgb="FFFF0000"/>
      <name val="Times New Roman"/>
      <family val="1"/>
    </font>
    <font>
      <sz val="12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5" fillId="0" borderId="0"/>
    <xf numFmtId="0" fontId="7" fillId="0" borderId="0"/>
  </cellStyleXfs>
  <cellXfs count="114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1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2" borderId="0" xfId="2" applyFont="1" applyFill="1"/>
    <xf numFmtId="0" fontId="3" fillId="5" borderId="0" xfId="0" applyFont="1" applyFill="1"/>
    <xf numFmtId="3" fontId="3" fillId="0" borderId="0" xfId="0" applyNumberFormat="1" applyFont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3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1" xfId="2" applyFont="1" applyFill="1" applyBorder="1"/>
    <xf numFmtId="0" fontId="3" fillId="2" borderId="1" xfId="2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1" fontId="3" fillId="2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8" fillId="6" borderId="1" xfId="0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vertical="center"/>
    </xf>
    <xf numFmtId="0" fontId="3" fillId="8" borderId="1" xfId="0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/>
    </xf>
    <xf numFmtId="0" fontId="3" fillId="8" borderId="0" xfId="0" applyFont="1" applyFill="1"/>
    <xf numFmtId="0" fontId="8" fillId="6" borderId="1" xfId="0" applyFont="1" applyFill="1" applyBorder="1" applyAlignment="1">
      <alignment horizontal="center" vertical="center" wrapText="1"/>
    </xf>
    <xf numFmtId="3" fontId="2" fillId="6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vertical="center" wrapText="1"/>
    </xf>
    <xf numFmtId="49" fontId="2" fillId="8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2" borderId="1" xfId="2" applyNumberFormat="1" applyFont="1" applyFill="1" applyBorder="1" applyAlignment="1">
      <alignment horizontal="center" vertical="center"/>
    </xf>
    <xf numFmtId="3" fontId="3" fillId="6" borderId="0" xfId="0" applyNumberFormat="1" applyFont="1" applyFill="1"/>
    <xf numFmtId="3" fontId="3" fillId="5" borderId="1" xfId="0" applyNumberFormat="1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 wrapText="1"/>
    </xf>
    <xf numFmtId="3" fontId="3" fillId="0" borderId="0" xfId="0" applyNumberFormat="1" applyFont="1" applyAlignment="1">
      <alignment wrapText="1"/>
    </xf>
    <xf numFmtId="3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/>
    </xf>
    <xf numFmtId="0" fontId="3" fillId="7" borderId="0" xfId="0" applyFont="1" applyFill="1"/>
    <xf numFmtId="0" fontId="3" fillId="7" borderId="1" xfId="0" quotePrefix="1" applyFont="1" applyFill="1" applyBorder="1" applyAlignment="1">
      <alignment horizontal="center" vertical="center"/>
    </xf>
    <xf numFmtId="0" fontId="4" fillId="7" borderId="0" xfId="0" applyFont="1" applyFill="1"/>
    <xf numFmtId="1" fontId="3" fillId="7" borderId="1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2" fillId="7" borderId="1" xfId="0" applyFont="1" applyFill="1" applyBorder="1" applyAlignment="1">
      <alignment horizontal="center" vertical="center" wrapText="1"/>
    </xf>
    <xf numFmtId="3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/>
    <xf numFmtId="0" fontId="3" fillId="7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3" fontId="3" fillId="2" borderId="1" xfId="2" applyNumberFormat="1" applyFont="1" applyFill="1" applyBorder="1" applyAlignment="1">
      <alignment horizontal="center" vertical="center"/>
    </xf>
    <xf numFmtId="3" fontId="2" fillId="3" borderId="1" xfId="0" applyNumberFormat="1" applyFont="1" applyFill="1" applyBorder="1" applyAlignment="1">
      <alignment horizontal="center" vertical="center" wrapText="1"/>
    </xf>
    <xf numFmtId="3" fontId="8" fillId="6" borderId="1" xfId="0" applyNumberFormat="1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 wrapText="1"/>
    </xf>
    <xf numFmtId="49" fontId="9" fillId="5" borderId="1" xfId="0" applyNumberFormat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3" fontId="2" fillId="7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3" fontId="3" fillId="7" borderId="1" xfId="0" applyNumberFormat="1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49" fontId="3" fillId="2" borderId="1" xfId="2" applyNumberFormat="1" applyFont="1" applyFill="1" applyBorder="1" applyAlignment="1">
      <alignment horizontal="center" vertical="center"/>
    </xf>
    <xf numFmtId="49" fontId="3" fillId="2" borderId="1" xfId="2" applyNumberFormat="1" applyFont="1" applyFill="1" applyBorder="1"/>
    <xf numFmtId="49" fontId="3" fillId="7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/>
    </xf>
    <xf numFmtId="0" fontId="3" fillId="6" borderId="1" xfId="0" applyFont="1" applyFill="1" applyBorder="1"/>
    <xf numFmtId="0" fontId="10" fillId="7" borderId="1" xfId="0" applyFont="1" applyFill="1" applyBorder="1"/>
  </cellXfs>
  <cellStyles count="4">
    <cellStyle name="Comma" xfId="1" builtinId="3"/>
    <cellStyle name="Normal" xfId="0" builtinId="0"/>
    <cellStyle name="Normal 2" xfId="3" xr:uid="{54AE4DFF-B77E-4944-B593-2E1B77BDEDE6}"/>
    <cellStyle name="Normal_PXK" xfId="2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am Phan" id="{203870B4-7E98-4DF2-ABF0-86A118F7FA1C}" userId="cbbf673b105610d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6" dT="2025-12-02T08:03:21.83" personId="{203870B4-7E98-4DF2-ABF0-86A118F7FA1C}" id="{2B4B1216-682B-44CF-9A8F-92BDCDEC85C9}">
    <text>Sang tên từ Cao Su Bình Dương qua</text>
  </threadedComment>
  <threadedComment ref="I7" dT="2025-12-02T08:03:21.83" personId="{203870B4-7E98-4DF2-ABF0-86A118F7FA1C}" id="{D59EF745-610D-4B01-B989-7770D3CC3D54}">
    <text>Sang tên từ Cao Su Bình Dương qua</text>
  </threadedComment>
  <threadedComment ref="I8" dT="2025-12-02T08:03:21.83" personId="{203870B4-7E98-4DF2-ABF0-86A118F7FA1C}" id="{613DE458-99CE-45A4-8B93-71AEAB9800F6}">
    <text>Sang tên từ Cao Su Bình Dương qua</text>
  </threadedComment>
  <threadedComment ref="I9" dT="2025-12-02T08:03:21.83" personId="{203870B4-7E98-4DF2-ABF0-86A118F7FA1C}" id="{093A357C-F449-4537-BA06-897C39299E1D}">
    <text>Sang tên từ Cao Su Bình Dương qua</text>
  </threadedComment>
  <threadedComment ref="I10" dT="2025-12-02T08:03:21.83" personId="{203870B4-7E98-4DF2-ABF0-86A118F7FA1C}" id="{9052BB4E-9FC5-451A-865A-768D17513346}">
    <text>Sang tên từ Cao Su Bình Dương qua</text>
  </threadedComment>
  <threadedComment ref="I11" dT="2025-12-02T08:03:21.83" personId="{203870B4-7E98-4DF2-ABF0-86A118F7FA1C}" id="{AC2003C6-077E-44C8-9C05-7A5C3CE9FAA4}">
    <text>Sang tên từ Cao Su Bình Dương qua</text>
  </threadedComment>
  <threadedComment ref="I12" dT="2025-12-02T08:03:21.83" personId="{203870B4-7E98-4DF2-ABF0-86A118F7FA1C}" id="{5796CE8D-8347-46FD-9E8E-A6D1822B1838}">
    <text>Sang tên từ Cao Su Bình Dương qua</text>
  </threadedComment>
  <threadedComment ref="I13" dT="2025-12-02T08:03:21.83" personId="{203870B4-7E98-4DF2-ABF0-86A118F7FA1C}" id="{D09795A1-F801-4A82-BE7D-C98174453D43}">
    <text>Sang tên từ Cao Su Bình Dương qua</text>
  </threadedComment>
  <threadedComment ref="I14" dT="2025-12-02T08:03:21.83" personId="{203870B4-7E98-4DF2-ABF0-86A118F7FA1C}" id="{8FB1704A-073C-454C-BE65-0373E63CEBBE}">
    <text>Sang tên từ Cao Su Bình Dương qua</text>
  </threadedComment>
  <threadedComment ref="I15" dT="2025-12-02T08:03:21.83" personId="{203870B4-7E98-4DF2-ABF0-86A118F7FA1C}" id="{5D4F370E-A3D9-44B2-8BFE-343584EE5113}">
    <text>Sang tên từ Cao Su Bình Dương qua</text>
  </threadedComment>
  <threadedComment ref="I21" dT="2025-12-02T08:03:21.83" personId="{203870B4-7E98-4DF2-ABF0-86A118F7FA1C}" id="{5400DBD4-746E-4A9C-88B7-68BC8E6F0B27}">
    <text>Sang tên từ Cao Su Bình Dương qua</text>
  </threadedComment>
  <threadedComment ref="I22" dT="2025-12-02T08:03:21.83" personId="{203870B4-7E98-4DF2-ABF0-86A118F7FA1C}" id="{B9FB59D4-4970-470B-8C24-B76AD3CA5185}">
    <text>Sang tên từ Cao Su Bình Dương qua</text>
  </threadedComment>
  <threadedComment ref="I23" dT="2025-12-02T08:03:21.83" personId="{203870B4-7E98-4DF2-ABF0-86A118F7FA1C}" id="{43D54063-5160-44C3-9F2D-E3FCDF29AF32}">
    <text>Sang tên từ Cao Su Bình Dương qua</text>
  </threadedComment>
  <threadedComment ref="I24" dT="2025-12-02T08:03:21.83" personId="{203870B4-7E98-4DF2-ABF0-86A118F7FA1C}" id="{F5A2F380-BDD0-4996-B24D-5B105FDFCB7C}">
    <text>Sang tên từ Cao Su Bình Dương qua</text>
  </threadedComment>
  <threadedComment ref="I25" dT="2025-12-02T08:03:21.83" personId="{203870B4-7E98-4DF2-ABF0-86A118F7FA1C}" id="{869189A4-1BC8-4ADE-9967-B9B57A9055CD}">
    <text>Sang tên từ Cao Su Bình Dương qua</text>
  </threadedComment>
  <threadedComment ref="I26" dT="2025-12-02T08:03:21.83" personId="{203870B4-7E98-4DF2-ABF0-86A118F7FA1C}" id="{F029D1AF-5D08-4181-A48B-D2758603E874}">
    <text>Sang tên từ Cao Su Bình Dương qua</text>
  </threadedComment>
  <threadedComment ref="I27" dT="2025-12-02T08:03:21.83" personId="{203870B4-7E98-4DF2-ABF0-86A118F7FA1C}" id="{1B295185-C578-4FB5-AF95-6DF565719C47}">
    <text>Sang tên từ Cao Su Bình Dương qua</text>
  </threadedComment>
  <threadedComment ref="I28" dT="2025-12-02T08:03:21.83" personId="{203870B4-7E98-4DF2-ABF0-86A118F7FA1C}" id="{C874E8DA-02AE-4584-B820-231552939272}">
    <text>Sang tên từ Cao Su Bình Dương qua</text>
  </threadedComment>
  <threadedComment ref="I29" dT="2025-12-02T08:03:21.83" personId="{203870B4-7E98-4DF2-ABF0-86A118F7FA1C}" id="{437AC8BF-4154-4FDE-AAB7-DBD761D110BD}">
    <text>Sang tên từ Cao Su Bình Dương qua</text>
  </threadedComment>
  <threadedComment ref="I30" dT="2025-12-02T08:03:21.83" personId="{203870B4-7E98-4DF2-ABF0-86A118F7FA1C}" id="{76A29819-24B0-42D4-A791-7B1A1A5897BD}">
    <text>Sang tên từ Cao Su Bình Dương qua</text>
  </threadedComment>
  <threadedComment ref="I31" dT="2025-12-02T08:03:21.83" personId="{203870B4-7E98-4DF2-ABF0-86A118F7FA1C}" id="{BFA517A0-1098-47E3-A64D-625E7F91DE48}">
    <text>Sang tên từ Huỳnh Kim Thảo qua</text>
  </threadedComment>
  <threadedComment ref="I32" dT="2025-12-02T08:03:21.83" personId="{203870B4-7E98-4DF2-ABF0-86A118F7FA1C}" id="{5F824FEE-92A8-4311-AD4D-6463FDCAB0B3}">
    <text>Sang tên từ Cao Su Bình Dương qua</text>
  </threadedComment>
  <threadedComment ref="I36" dT="2025-12-05T05:21:00.44" personId="{203870B4-7E98-4DF2-ABF0-86A118F7FA1C}" id="{43CA6214-79BF-445A-8E51-ADB4C4451316}">
    <text>Không có thông tin trên hóa đơn</text>
  </threadedComment>
  <threadedComment ref="K155" dT="2025-12-03T13:56:37.98" personId="{203870B4-7E98-4DF2-ABF0-86A118F7FA1C}" id="{B61340F9-C7FC-4569-9974-B1F5ACA9A694}">
    <text>Không đăng ký mã là sđt</text>
  </threadedComment>
  <threadedComment ref="Q187" dT="2025-10-02T17:00:27.31" personId="{203870B4-7E98-4DF2-ABF0-86A118F7FA1C}" id="{5AA33730-DF7E-45F1-A011-1444ECBD04FF}">
    <text>Địa chỉ không có số nhà</text>
  </threadedComment>
  <threadedComment ref="R187" dT="2025-09-03T02:38:22.49" personId="{203870B4-7E98-4DF2-ABF0-86A118F7FA1C}" id="{F6086E79-5229-4C65-9C2E-FF3A7A66F534}">
    <text>Địa chỉ không có số nhà</text>
  </threadedComment>
  <threadedComment ref="Q225" dT="2025-10-02T17:19:39.38" personId="{203870B4-7E98-4DF2-ABF0-86A118F7FA1C}" id="{85635108-2B51-4EB8-B8DC-FE2E8D37A223}">
    <text>Địa chỉ không có số nhà</text>
  </threadedComment>
  <threadedComment ref="O266" dT="2025-12-09T01:22:21.02" personId="{203870B4-7E98-4DF2-ABF0-86A118F7FA1C}" id="{50428307-1E2B-4A11-852C-E6682371E135}">
    <text>8571 Tâm thêm 9/12</text>
  </threadedComment>
  <threadedComment ref="O268" dT="2025-12-09T01:18:10.15" personId="{203870B4-7E98-4DF2-ABF0-86A118F7FA1C}" id="{D10F699D-FE59-451A-BB0C-627A7353FAD1}">
    <text>27855 Tâm thêm 9/12</text>
  </threadedComment>
  <threadedComment ref="O270" dT="2025-12-09T01:18:51.62" personId="{203870B4-7E98-4DF2-ABF0-86A118F7FA1C}" id="{FEB653BF-C43A-4A1D-8316-6977E8B443AE}">
    <text>446602 Tâm thêm 9/12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028D-B638-4916-ABBB-0703FAF229AF}">
  <sheetPr codeName="Sheet1">
    <pageSetUpPr fitToPage="1"/>
  </sheetPr>
  <dimension ref="A1:AC331"/>
  <sheetViews>
    <sheetView tabSelected="1" zoomScale="85" zoomScaleNormal="85" workbookViewId="0">
      <pane ySplit="1" topLeftCell="A2" activePane="bottomLeft" state="frozen"/>
      <selection activeCell="C1" sqref="C1"/>
      <selection pane="bottomLeft" activeCell="H33" sqref="H33"/>
    </sheetView>
  </sheetViews>
  <sheetFormatPr defaultColWidth="7" defaultRowHeight="18.75" x14ac:dyDescent="0.3"/>
  <cols>
    <col min="1" max="1" width="5.77734375" style="11" customWidth="1"/>
    <col min="2" max="2" width="52.6640625" style="11" hidden="1" customWidth="1"/>
    <col min="3" max="3" width="29.88671875" style="4" hidden="1" customWidth="1"/>
    <col min="4" max="4" width="13.109375" style="2" hidden="1" customWidth="1"/>
    <col min="5" max="5" width="15.21875" style="1" bestFit="1" customWidth="1"/>
    <col min="6" max="6" width="24.33203125" style="2" bestFit="1" customWidth="1"/>
    <col min="7" max="7" width="11.5546875" style="2" customWidth="1"/>
    <col min="8" max="8" width="16.109375" style="4" bestFit="1" customWidth="1"/>
    <col min="9" max="9" width="17.88671875" style="2" customWidth="1"/>
    <col min="10" max="10" width="11.77734375" style="2" hidden="1" customWidth="1"/>
    <col min="11" max="11" width="34.21875" style="36" customWidth="1"/>
    <col min="12" max="12" width="13" style="36" bestFit="1" customWidth="1"/>
    <col min="13" max="13" width="13.44140625" style="36" customWidth="1"/>
    <col min="14" max="14" width="15.33203125" style="71" customWidth="1"/>
    <col min="15" max="16" width="13.77734375" style="4" customWidth="1"/>
    <col min="17" max="17" width="12.5546875" style="4" customWidth="1"/>
    <col min="18" max="18" width="12.5546875" style="4" hidden="1" customWidth="1"/>
    <col min="19" max="25" width="12" style="16" hidden="1" customWidth="1"/>
    <col min="26" max="26" width="13.5546875" style="4" bestFit="1" customWidth="1"/>
    <col min="27" max="27" width="13.109375" style="1" bestFit="1" customWidth="1"/>
    <col min="28" max="28" width="7" style="2"/>
    <col min="29" max="29" width="9.109375" style="2" bestFit="1" customWidth="1"/>
    <col min="30" max="252" width="7" style="2"/>
    <col min="253" max="253" width="4.109375" style="2" customWidth="1"/>
    <col min="254" max="254" width="3.6640625" style="2" customWidth="1"/>
    <col min="255" max="255" width="4.88671875" style="2" customWidth="1"/>
    <col min="256" max="256" width="10.33203125" style="2" customWidth="1"/>
    <col min="257" max="257" width="13.33203125" style="2" customWidth="1"/>
    <col min="258" max="258" width="5.5546875" style="2" customWidth="1"/>
    <col min="259" max="259" width="6.44140625" style="2" customWidth="1"/>
    <col min="260" max="260" width="11.6640625" style="2" customWidth="1"/>
    <col min="261" max="261" width="10.44140625" style="2" customWidth="1"/>
    <col min="262" max="262" width="13.44140625" style="2" customWidth="1"/>
    <col min="263" max="508" width="7" style="2"/>
    <col min="509" max="509" width="4.109375" style="2" customWidth="1"/>
    <col min="510" max="510" width="3.6640625" style="2" customWidth="1"/>
    <col min="511" max="511" width="4.88671875" style="2" customWidth="1"/>
    <col min="512" max="512" width="10.33203125" style="2" customWidth="1"/>
    <col min="513" max="513" width="13.33203125" style="2" customWidth="1"/>
    <col min="514" max="514" width="5.5546875" style="2" customWidth="1"/>
    <col min="515" max="515" width="6.44140625" style="2" customWidth="1"/>
    <col min="516" max="516" width="11.6640625" style="2" customWidth="1"/>
    <col min="517" max="517" width="10.44140625" style="2" customWidth="1"/>
    <col min="518" max="518" width="13.44140625" style="2" customWidth="1"/>
    <col min="519" max="764" width="7" style="2"/>
    <col min="765" max="765" width="4.109375" style="2" customWidth="1"/>
    <col min="766" max="766" width="3.6640625" style="2" customWidth="1"/>
    <col min="767" max="767" width="4.88671875" style="2" customWidth="1"/>
    <col min="768" max="768" width="10.33203125" style="2" customWidth="1"/>
    <col min="769" max="769" width="13.33203125" style="2" customWidth="1"/>
    <col min="770" max="770" width="5.5546875" style="2" customWidth="1"/>
    <col min="771" max="771" width="6.44140625" style="2" customWidth="1"/>
    <col min="772" max="772" width="11.6640625" style="2" customWidth="1"/>
    <col min="773" max="773" width="10.44140625" style="2" customWidth="1"/>
    <col min="774" max="774" width="13.44140625" style="2" customWidth="1"/>
    <col min="775" max="1020" width="7" style="2"/>
    <col min="1021" max="1021" width="4.109375" style="2" customWidth="1"/>
    <col min="1022" max="1022" width="3.6640625" style="2" customWidth="1"/>
    <col min="1023" max="1023" width="4.88671875" style="2" customWidth="1"/>
    <col min="1024" max="1024" width="10.33203125" style="2" customWidth="1"/>
    <col min="1025" max="1025" width="13.33203125" style="2" customWidth="1"/>
    <col min="1026" max="1026" width="5.5546875" style="2" customWidth="1"/>
    <col min="1027" max="1027" width="6.44140625" style="2" customWidth="1"/>
    <col min="1028" max="1028" width="11.6640625" style="2" customWidth="1"/>
    <col min="1029" max="1029" width="10.44140625" style="2" customWidth="1"/>
    <col min="1030" max="1030" width="13.44140625" style="2" customWidth="1"/>
    <col min="1031" max="1276" width="7" style="2"/>
    <col min="1277" max="1277" width="4.109375" style="2" customWidth="1"/>
    <col min="1278" max="1278" width="3.6640625" style="2" customWidth="1"/>
    <col min="1279" max="1279" width="4.88671875" style="2" customWidth="1"/>
    <col min="1280" max="1280" width="10.33203125" style="2" customWidth="1"/>
    <col min="1281" max="1281" width="13.33203125" style="2" customWidth="1"/>
    <col min="1282" max="1282" width="5.5546875" style="2" customWidth="1"/>
    <col min="1283" max="1283" width="6.44140625" style="2" customWidth="1"/>
    <col min="1284" max="1284" width="11.6640625" style="2" customWidth="1"/>
    <col min="1285" max="1285" width="10.44140625" style="2" customWidth="1"/>
    <col min="1286" max="1286" width="13.44140625" style="2" customWidth="1"/>
    <col min="1287" max="1532" width="7" style="2"/>
    <col min="1533" max="1533" width="4.109375" style="2" customWidth="1"/>
    <col min="1534" max="1534" width="3.6640625" style="2" customWidth="1"/>
    <col min="1535" max="1535" width="4.88671875" style="2" customWidth="1"/>
    <col min="1536" max="1536" width="10.33203125" style="2" customWidth="1"/>
    <col min="1537" max="1537" width="13.33203125" style="2" customWidth="1"/>
    <col min="1538" max="1538" width="5.5546875" style="2" customWidth="1"/>
    <col min="1539" max="1539" width="6.44140625" style="2" customWidth="1"/>
    <col min="1540" max="1540" width="11.6640625" style="2" customWidth="1"/>
    <col min="1541" max="1541" width="10.44140625" style="2" customWidth="1"/>
    <col min="1542" max="1542" width="13.44140625" style="2" customWidth="1"/>
    <col min="1543" max="1788" width="7" style="2"/>
    <col min="1789" max="1789" width="4.109375" style="2" customWidth="1"/>
    <col min="1790" max="1790" width="3.6640625" style="2" customWidth="1"/>
    <col min="1791" max="1791" width="4.88671875" style="2" customWidth="1"/>
    <col min="1792" max="1792" width="10.33203125" style="2" customWidth="1"/>
    <col min="1793" max="1793" width="13.33203125" style="2" customWidth="1"/>
    <col min="1794" max="1794" width="5.5546875" style="2" customWidth="1"/>
    <col min="1795" max="1795" width="6.44140625" style="2" customWidth="1"/>
    <col min="1796" max="1796" width="11.6640625" style="2" customWidth="1"/>
    <col min="1797" max="1797" width="10.44140625" style="2" customWidth="1"/>
    <col min="1798" max="1798" width="13.44140625" style="2" customWidth="1"/>
    <col min="1799" max="2044" width="7" style="2"/>
    <col min="2045" max="2045" width="4.109375" style="2" customWidth="1"/>
    <col min="2046" max="2046" width="3.6640625" style="2" customWidth="1"/>
    <col min="2047" max="2047" width="4.88671875" style="2" customWidth="1"/>
    <col min="2048" max="2048" width="10.33203125" style="2" customWidth="1"/>
    <col min="2049" max="2049" width="13.33203125" style="2" customWidth="1"/>
    <col min="2050" max="2050" width="5.5546875" style="2" customWidth="1"/>
    <col min="2051" max="2051" width="6.44140625" style="2" customWidth="1"/>
    <col min="2052" max="2052" width="11.6640625" style="2" customWidth="1"/>
    <col min="2053" max="2053" width="10.44140625" style="2" customWidth="1"/>
    <col min="2054" max="2054" width="13.44140625" style="2" customWidth="1"/>
    <col min="2055" max="2300" width="7" style="2"/>
    <col min="2301" max="2301" width="4.109375" style="2" customWidth="1"/>
    <col min="2302" max="2302" width="3.6640625" style="2" customWidth="1"/>
    <col min="2303" max="2303" width="4.88671875" style="2" customWidth="1"/>
    <col min="2304" max="2304" width="10.33203125" style="2" customWidth="1"/>
    <col min="2305" max="2305" width="13.33203125" style="2" customWidth="1"/>
    <col min="2306" max="2306" width="5.5546875" style="2" customWidth="1"/>
    <col min="2307" max="2307" width="6.44140625" style="2" customWidth="1"/>
    <col min="2308" max="2308" width="11.6640625" style="2" customWidth="1"/>
    <col min="2309" max="2309" width="10.44140625" style="2" customWidth="1"/>
    <col min="2310" max="2310" width="13.44140625" style="2" customWidth="1"/>
    <col min="2311" max="2556" width="7" style="2"/>
    <col min="2557" max="2557" width="4.109375" style="2" customWidth="1"/>
    <col min="2558" max="2558" width="3.6640625" style="2" customWidth="1"/>
    <col min="2559" max="2559" width="4.88671875" style="2" customWidth="1"/>
    <col min="2560" max="2560" width="10.33203125" style="2" customWidth="1"/>
    <col min="2561" max="2561" width="13.33203125" style="2" customWidth="1"/>
    <col min="2562" max="2562" width="5.5546875" style="2" customWidth="1"/>
    <col min="2563" max="2563" width="6.44140625" style="2" customWidth="1"/>
    <col min="2564" max="2564" width="11.6640625" style="2" customWidth="1"/>
    <col min="2565" max="2565" width="10.44140625" style="2" customWidth="1"/>
    <col min="2566" max="2566" width="13.44140625" style="2" customWidth="1"/>
    <col min="2567" max="2812" width="7" style="2"/>
    <col min="2813" max="2813" width="4.109375" style="2" customWidth="1"/>
    <col min="2814" max="2814" width="3.6640625" style="2" customWidth="1"/>
    <col min="2815" max="2815" width="4.88671875" style="2" customWidth="1"/>
    <col min="2816" max="2816" width="10.33203125" style="2" customWidth="1"/>
    <col min="2817" max="2817" width="13.33203125" style="2" customWidth="1"/>
    <col min="2818" max="2818" width="5.5546875" style="2" customWidth="1"/>
    <col min="2819" max="2819" width="6.44140625" style="2" customWidth="1"/>
    <col min="2820" max="2820" width="11.6640625" style="2" customWidth="1"/>
    <col min="2821" max="2821" width="10.44140625" style="2" customWidth="1"/>
    <col min="2822" max="2822" width="13.44140625" style="2" customWidth="1"/>
    <col min="2823" max="3068" width="7" style="2"/>
    <col min="3069" max="3069" width="4.109375" style="2" customWidth="1"/>
    <col min="3070" max="3070" width="3.6640625" style="2" customWidth="1"/>
    <col min="3071" max="3071" width="4.88671875" style="2" customWidth="1"/>
    <col min="3072" max="3072" width="10.33203125" style="2" customWidth="1"/>
    <col min="3073" max="3073" width="13.33203125" style="2" customWidth="1"/>
    <col min="3074" max="3074" width="5.5546875" style="2" customWidth="1"/>
    <col min="3075" max="3075" width="6.44140625" style="2" customWidth="1"/>
    <col min="3076" max="3076" width="11.6640625" style="2" customWidth="1"/>
    <col min="3077" max="3077" width="10.44140625" style="2" customWidth="1"/>
    <col min="3078" max="3078" width="13.44140625" style="2" customWidth="1"/>
    <col min="3079" max="3324" width="7" style="2"/>
    <col min="3325" max="3325" width="4.109375" style="2" customWidth="1"/>
    <col min="3326" max="3326" width="3.6640625" style="2" customWidth="1"/>
    <col min="3327" max="3327" width="4.88671875" style="2" customWidth="1"/>
    <col min="3328" max="3328" width="10.33203125" style="2" customWidth="1"/>
    <col min="3329" max="3329" width="13.33203125" style="2" customWidth="1"/>
    <col min="3330" max="3330" width="5.5546875" style="2" customWidth="1"/>
    <col min="3331" max="3331" width="6.44140625" style="2" customWidth="1"/>
    <col min="3332" max="3332" width="11.6640625" style="2" customWidth="1"/>
    <col min="3333" max="3333" width="10.44140625" style="2" customWidth="1"/>
    <col min="3334" max="3334" width="13.44140625" style="2" customWidth="1"/>
    <col min="3335" max="3580" width="7" style="2"/>
    <col min="3581" max="3581" width="4.109375" style="2" customWidth="1"/>
    <col min="3582" max="3582" width="3.6640625" style="2" customWidth="1"/>
    <col min="3583" max="3583" width="4.88671875" style="2" customWidth="1"/>
    <col min="3584" max="3584" width="10.33203125" style="2" customWidth="1"/>
    <col min="3585" max="3585" width="13.33203125" style="2" customWidth="1"/>
    <col min="3586" max="3586" width="5.5546875" style="2" customWidth="1"/>
    <col min="3587" max="3587" width="6.44140625" style="2" customWidth="1"/>
    <col min="3588" max="3588" width="11.6640625" style="2" customWidth="1"/>
    <col min="3589" max="3589" width="10.44140625" style="2" customWidth="1"/>
    <col min="3590" max="3590" width="13.44140625" style="2" customWidth="1"/>
    <col min="3591" max="3836" width="7" style="2"/>
    <col min="3837" max="3837" width="4.109375" style="2" customWidth="1"/>
    <col min="3838" max="3838" width="3.6640625" style="2" customWidth="1"/>
    <col min="3839" max="3839" width="4.88671875" style="2" customWidth="1"/>
    <col min="3840" max="3840" width="10.33203125" style="2" customWidth="1"/>
    <col min="3841" max="3841" width="13.33203125" style="2" customWidth="1"/>
    <col min="3842" max="3842" width="5.5546875" style="2" customWidth="1"/>
    <col min="3843" max="3843" width="6.44140625" style="2" customWidth="1"/>
    <col min="3844" max="3844" width="11.6640625" style="2" customWidth="1"/>
    <col min="3845" max="3845" width="10.44140625" style="2" customWidth="1"/>
    <col min="3846" max="3846" width="13.44140625" style="2" customWidth="1"/>
    <col min="3847" max="4092" width="7" style="2"/>
    <col min="4093" max="4093" width="4.109375" style="2" customWidth="1"/>
    <col min="4094" max="4094" width="3.6640625" style="2" customWidth="1"/>
    <col min="4095" max="4095" width="4.88671875" style="2" customWidth="1"/>
    <col min="4096" max="4096" width="10.33203125" style="2" customWidth="1"/>
    <col min="4097" max="4097" width="13.33203125" style="2" customWidth="1"/>
    <col min="4098" max="4098" width="5.5546875" style="2" customWidth="1"/>
    <col min="4099" max="4099" width="6.44140625" style="2" customWidth="1"/>
    <col min="4100" max="4100" width="11.6640625" style="2" customWidth="1"/>
    <col min="4101" max="4101" width="10.44140625" style="2" customWidth="1"/>
    <col min="4102" max="4102" width="13.44140625" style="2" customWidth="1"/>
    <col min="4103" max="4348" width="7" style="2"/>
    <col min="4349" max="4349" width="4.109375" style="2" customWidth="1"/>
    <col min="4350" max="4350" width="3.6640625" style="2" customWidth="1"/>
    <col min="4351" max="4351" width="4.88671875" style="2" customWidth="1"/>
    <col min="4352" max="4352" width="10.33203125" style="2" customWidth="1"/>
    <col min="4353" max="4353" width="13.33203125" style="2" customWidth="1"/>
    <col min="4354" max="4354" width="5.5546875" style="2" customWidth="1"/>
    <col min="4355" max="4355" width="6.44140625" style="2" customWidth="1"/>
    <col min="4356" max="4356" width="11.6640625" style="2" customWidth="1"/>
    <col min="4357" max="4357" width="10.44140625" style="2" customWidth="1"/>
    <col min="4358" max="4358" width="13.44140625" style="2" customWidth="1"/>
    <col min="4359" max="4604" width="7" style="2"/>
    <col min="4605" max="4605" width="4.109375" style="2" customWidth="1"/>
    <col min="4606" max="4606" width="3.6640625" style="2" customWidth="1"/>
    <col min="4607" max="4607" width="4.88671875" style="2" customWidth="1"/>
    <col min="4608" max="4608" width="10.33203125" style="2" customWidth="1"/>
    <col min="4609" max="4609" width="13.33203125" style="2" customWidth="1"/>
    <col min="4610" max="4610" width="5.5546875" style="2" customWidth="1"/>
    <col min="4611" max="4611" width="6.44140625" style="2" customWidth="1"/>
    <col min="4612" max="4612" width="11.6640625" style="2" customWidth="1"/>
    <col min="4613" max="4613" width="10.44140625" style="2" customWidth="1"/>
    <col min="4614" max="4614" width="13.44140625" style="2" customWidth="1"/>
    <col min="4615" max="4860" width="7" style="2"/>
    <col min="4861" max="4861" width="4.109375" style="2" customWidth="1"/>
    <col min="4862" max="4862" width="3.6640625" style="2" customWidth="1"/>
    <col min="4863" max="4863" width="4.88671875" style="2" customWidth="1"/>
    <col min="4864" max="4864" width="10.33203125" style="2" customWidth="1"/>
    <col min="4865" max="4865" width="13.33203125" style="2" customWidth="1"/>
    <col min="4866" max="4866" width="5.5546875" style="2" customWidth="1"/>
    <col min="4867" max="4867" width="6.44140625" style="2" customWidth="1"/>
    <col min="4868" max="4868" width="11.6640625" style="2" customWidth="1"/>
    <col min="4869" max="4869" width="10.44140625" style="2" customWidth="1"/>
    <col min="4870" max="4870" width="13.44140625" style="2" customWidth="1"/>
    <col min="4871" max="5116" width="7" style="2"/>
    <col min="5117" max="5117" width="4.109375" style="2" customWidth="1"/>
    <col min="5118" max="5118" width="3.6640625" style="2" customWidth="1"/>
    <col min="5119" max="5119" width="4.88671875" style="2" customWidth="1"/>
    <col min="5120" max="5120" width="10.33203125" style="2" customWidth="1"/>
    <col min="5121" max="5121" width="13.33203125" style="2" customWidth="1"/>
    <col min="5122" max="5122" width="5.5546875" style="2" customWidth="1"/>
    <col min="5123" max="5123" width="6.44140625" style="2" customWidth="1"/>
    <col min="5124" max="5124" width="11.6640625" style="2" customWidth="1"/>
    <col min="5125" max="5125" width="10.44140625" style="2" customWidth="1"/>
    <col min="5126" max="5126" width="13.44140625" style="2" customWidth="1"/>
    <col min="5127" max="5372" width="7" style="2"/>
    <col min="5373" max="5373" width="4.109375" style="2" customWidth="1"/>
    <col min="5374" max="5374" width="3.6640625" style="2" customWidth="1"/>
    <col min="5375" max="5375" width="4.88671875" style="2" customWidth="1"/>
    <col min="5376" max="5376" width="10.33203125" style="2" customWidth="1"/>
    <col min="5377" max="5377" width="13.33203125" style="2" customWidth="1"/>
    <col min="5378" max="5378" width="5.5546875" style="2" customWidth="1"/>
    <col min="5379" max="5379" width="6.44140625" style="2" customWidth="1"/>
    <col min="5380" max="5380" width="11.6640625" style="2" customWidth="1"/>
    <col min="5381" max="5381" width="10.44140625" style="2" customWidth="1"/>
    <col min="5382" max="5382" width="13.44140625" style="2" customWidth="1"/>
    <col min="5383" max="5628" width="7" style="2"/>
    <col min="5629" max="5629" width="4.109375" style="2" customWidth="1"/>
    <col min="5630" max="5630" width="3.6640625" style="2" customWidth="1"/>
    <col min="5631" max="5631" width="4.88671875" style="2" customWidth="1"/>
    <col min="5632" max="5632" width="10.33203125" style="2" customWidth="1"/>
    <col min="5633" max="5633" width="13.33203125" style="2" customWidth="1"/>
    <col min="5634" max="5634" width="5.5546875" style="2" customWidth="1"/>
    <col min="5635" max="5635" width="6.44140625" style="2" customWidth="1"/>
    <col min="5636" max="5636" width="11.6640625" style="2" customWidth="1"/>
    <col min="5637" max="5637" width="10.44140625" style="2" customWidth="1"/>
    <col min="5638" max="5638" width="13.44140625" style="2" customWidth="1"/>
    <col min="5639" max="5884" width="7" style="2"/>
    <col min="5885" max="5885" width="4.109375" style="2" customWidth="1"/>
    <col min="5886" max="5886" width="3.6640625" style="2" customWidth="1"/>
    <col min="5887" max="5887" width="4.88671875" style="2" customWidth="1"/>
    <col min="5888" max="5888" width="10.33203125" style="2" customWidth="1"/>
    <col min="5889" max="5889" width="13.33203125" style="2" customWidth="1"/>
    <col min="5890" max="5890" width="5.5546875" style="2" customWidth="1"/>
    <col min="5891" max="5891" width="6.44140625" style="2" customWidth="1"/>
    <col min="5892" max="5892" width="11.6640625" style="2" customWidth="1"/>
    <col min="5893" max="5893" width="10.44140625" style="2" customWidth="1"/>
    <col min="5894" max="5894" width="13.44140625" style="2" customWidth="1"/>
    <col min="5895" max="6140" width="7" style="2"/>
    <col min="6141" max="6141" width="4.109375" style="2" customWidth="1"/>
    <col min="6142" max="6142" width="3.6640625" style="2" customWidth="1"/>
    <col min="6143" max="6143" width="4.88671875" style="2" customWidth="1"/>
    <col min="6144" max="6144" width="10.33203125" style="2" customWidth="1"/>
    <col min="6145" max="6145" width="13.33203125" style="2" customWidth="1"/>
    <col min="6146" max="6146" width="5.5546875" style="2" customWidth="1"/>
    <col min="6147" max="6147" width="6.44140625" style="2" customWidth="1"/>
    <col min="6148" max="6148" width="11.6640625" style="2" customWidth="1"/>
    <col min="6149" max="6149" width="10.44140625" style="2" customWidth="1"/>
    <col min="6150" max="6150" width="13.44140625" style="2" customWidth="1"/>
    <col min="6151" max="6396" width="7" style="2"/>
    <col min="6397" max="6397" width="4.109375" style="2" customWidth="1"/>
    <col min="6398" max="6398" width="3.6640625" style="2" customWidth="1"/>
    <col min="6399" max="6399" width="4.88671875" style="2" customWidth="1"/>
    <col min="6400" max="6400" width="10.33203125" style="2" customWidth="1"/>
    <col min="6401" max="6401" width="13.33203125" style="2" customWidth="1"/>
    <col min="6402" max="6402" width="5.5546875" style="2" customWidth="1"/>
    <col min="6403" max="6403" width="6.44140625" style="2" customWidth="1"/>
    <col min="6404" max="6404" width="11.6640625" style="2" customWidth="1"/>
    <col min="6405" max="6405" width="10.44140625" style="2" customWidth="1"/>
    <col min="6406" max="6406" width="13.44140625" style="2" customWidth="1"/>
    <col min="6407" max="6652" width="7" style="2"/>
    <col min="6653" max="6653" width="4.109375" style="2" customWidth="1"/>
    <col min="6654" max="6654" width="3.6640625" style="2" customWidth="1"/>
    <col min="6655" max="6655" width="4.88671875" style="2" customWidth="1"/>
    <col min="6656" max="6656" width="10.33203125" style="2" customWidth="1"/>
    <col min="6657" max="6657" width="13.33203125" style="2" customWidth="1"/>
    <col min="6658" max="6658" width="5.5546875" style="2" customWidth="1"/>
    <col min="6659" max="6659" width="6.44140625" style="2" customWidth="1"/>
    <col min="6660" max="6660" width="11.6640625" style="2" customWidth="1"/>
    <col min="6661" max="6661" width="10.44140625" style="2" customWidth="1"/>
    <col min="6662" max="6662" width="13.44140625" style="2" customWidth="1"/>
    <col min="6663" max="6908" width="7" style="2"/>
    <col min="6909" max="6909" width="4.109375" style="2" customWidth="1"/>
    <col min="6910" max="6910" width="3.6640625" style="2" customWidth="1"/>
    <col min="6911" max="6911" width="4.88671875" style="2" customWidth="1"/>
    <col min="6912" max="6912" width="10.33203125" style="2" customWidth="1"/>
    <col min="6913" max="6913" width="13.33203125" style="2" customWidth="1"/>
    <col min="6914" max="6914" width="5.5546875" style="2" customWidth="1"/>
    <col min="6915" max="6915" width="6.44140625" style="2" customWidth="1"/>
    <col min="6916" max="6916" width="11.6640625" style="2" customWidth="1"/>
    <col min="6917" max="6917" width="10.44140625" style="2" customWidth="1"/>
    <col min="6918" max="6918" width="13.44140625" style="2" customWidth="1"/>
    <col min="6919" max="7164" width="7" style="2"/>
    <col min="7165" max="7165" width="4.109375" style="2" customWidth="1"/>
    <col min="7166" max="7166" width="3.6640625" style="2" customWidth="1"/>
    <col min="7167" max="7167" width="4.88671875" style="2" customWidth="1"/>
    <col min="7168" max="7168" width="10.33203125" style="2" customWidth="1"/>
    <col min="7169" max="7169" width="13.33203125" style="2" customWidth="1"/>
    <col min="7170" max="7170" width="5.5546875" style="2" customWidth="1"/>
    <col min="7171" max="7171" width="6.44140625" style="2" customWidth="1"/>
    <col min="7172" max="7172" width="11.6640625" style="2" customWidth="1"/>
    <col min="7173" max="7173" width="10.44140625" style="2" customWidth="1"/>
    <col min="7174" max="7174" width="13.44140625" style="2" customWidth="1"/>
    <col min="7175" max="7420" width="7" style="2"/>
    <col min="7421" max="7421" width="4.109375" style="2" customWidth="1"/>
    <col min="7422" max="7422" width="3.6640625" style="2" customWidth="1"/>
    <col min="7423" max="7423" width="4.88671875" style="2" customWidth="1"/>
    <col min="7424" max="7424" width="10.33203125" style="2" customWidth="1"/>
    <col min="7425" max="7425" width="13.33203125" style="2" customWidth="1"/>
    <col min="7426" max="7426" width="5.5546875" style="2" customWidth="1"/>
    <col min="7427" max="7427" width="6.44140625" style="2" customWidth="1"/>
    <col min="7428" max="7428" width="11.6640625" style="2" customWidth="1"/>
    <col min="7429" max="7429" width="10.44140625" style="2" customWidth="1"/>
    <col min="7430" max="7430" width="13.44140625" style="2" customWidth="1"/>
    <col min="7431" max="7676" width="7" style="2"/>
    <col min="7677" max="7677" width="4.109375" style="2" customWidth="1"/>
    <col min="7678" max="7678" width="3.6640625" style="2" customWidth="1"/>
    <col min="7679" max="7679" width="4.88671875" style="2" customWidth="1"/>
    <col min="7680" max="7680" width="10.33203125" style="2" customWidth="1"/>
    <col min="7681" max="7681" width="13.33203125" style="2" customWidth="1"/>
    <col min="7682" max="7682" width="5.5546875" style="2" customWidth="1"/>
    <col min="7683" max="7683" width="6.44140625" style="2" customWidth="1"/>
    <col min="7684" max="7684" width="11.6640625" style="2" customWidth="1"/>
    <col min="7685" max="7685" width="10.44140625" style="2" customWidth="1"/>
    <col min="7686" max="7686" width="13.44140625" style="2" customWidth="1"/>
    <col min="7687" max="7932" width="7" style="2"/>
    <col min="7933" max="7933" width="4.109375" style="2" customWidth="1"/>
    <col min="7934" max="7934" width="3.6640625" style="2" customWidth="1"/>
    <col min="7935" max="7935" width="4.88671875" style="2" customWidth="1"/>
    <col min="7936" max="7936" width="10.33203125" style="2" customWidth="1"/>
    <col min="7937" max="7937" width="13.33203125" style="2" customWidth="1"/>
    <col min="7938" max="7938" width="5.5546875" style="2" customWidth="1"/>
    <col min="7939" max="7939" width="6.44140625" style="2" customWidth="1"/>
    <col min="7940" max="7940" width="11.6640625" style="2" customWidth="1"/>
    <col min="7941" max="7941" width="10.44140625" style="2" customWidth="1"/>
    <col min="7942" max="7942" width="13.44140625" style="2" customWidth="1"/>
    <col min="7943" max="8188" width="7" style="2"/>
    <col min="8189" max="8189" width="4.109375" style="2" customWidth="1"/>
    <col min="8190" max="8190" width="3.6640625" style="2" customWidth="1"/>
    <col min="8191" max="8191" width="4.88671875" style="2" customWidth="1"/>
    <col min="8192" max="8192" width="10.33203125" style="2" customWidth="1"/>
    <col min="8193" max="8193" width="13.33203125" style="2" customWidth="1"/>
    <col min="8194" max="8194" width="5.5546875" style="2" customWidth="1"/>
    <col min="8195" max="8195" width="6.44140625" style="2" customWidth="1"/>
    <col min="8196" max="8196" width="11.6640625" style="2" customWidth="1"/>
    <col min="8197" max="8197" width="10.44140625" style="2" customWidth="1"/>
    <col min="8198" max="8198" width="13.44140625" style="2" customWidth="1"/>
    <col min="8199" max="8444" width="7" style="2"/>
    <col min="8445" max="8445" width="4.109375" style="2" customWidth="1"/>
    <col min="8446" max="8446" width="3.6640625" style="2" customWidth="1"/>
    <col min="8447" max="8447" width="4.88671875" style="2" customWidth="1"/>
    <col min="8448" max="8448" width="10.33203125" style="2" customWidth="1"/>
    <col min="8449" max="8449" width="13.33203125" style="2" customWidth="1"/>
    <col min="8450" max="8450" width="5.5546875" style="2" customWidth="1"/>
    <col min="8451" max="8451" width="6.44140625" style="2" customWidth="1"/>
    <col min="8452" max="8452" width="11.6640625" style="2" customWidth="1"/>
    <col min="8453" max="8453" width="10.44140625" style="2" customWidth="1"/>
    <col min="8454" max="8454" width="13.44140625" style="2" customWidth="1"/>
    <col min="8455" max="8700" width="7" style="2"/>
    <col min="8701" max="8701" width="4.109375" style="2" customWidth="1"/>
    <col min="8702" max="8702" width="3.6640625" style="2" customWidth="1"/>
    <col min="8703" max="8703" width="4.88671875" style="2" customWidth="1"/>
    <col min="8704" max="8704" width="10.33203125" style="2" customWidth="1"/>
    <col min="8705" max="8705" width="13.33203125" style="2" customWidth="1"/>
    <col min="8706" max="8706" width="5.5546875" style="2" customWidth="1"/>
    <col min="8707" max="8707" width="6.44140625" style="2" customWidth="1"/>
    <col min="8708" max="8708" width="11.6640625" style="2" customWidth="1"/>
    <col min="8709" max="8709" width="10.44140625" style="2" customWidth="1"/>
    <col min="8710" max="8710" width="13.44140625" style="2" customWidth="1"/>
    <col min="8711" max="8956" width="7" style="2"/>
    <col min="8957" max="8957" width="4.109375" style="2" customWidth="1"/>
    <col min="8958" max="8958" width="3.6640625" style="2" customWidth="1"/>
    <col min="8959" max="8959" width="4.88671875" style="2" customWidth="1"/>
    <col min="8960" max="8960" width="10.33203125" style="2" customWidth="1"/>
    <col min="8961" max="8961" width="13.33203125" style="2" customWidth="1"/>
    <col min="8962" max="8962" width="5.5546875" style="2" customWidth="1"/>
    <col min="8963" max="8963" width="6.44140625" style="2" customWidth="1"/>
    <col min="8964" max="8964" width="11.6640625" style="2" customWidth="1"/>
    <col min="8965" max="8965" width="10.44140625" style="2" customWidth="1"/>
    <col min="8966" max="8966" width="13.44140625" style="2" customWidth="1"/>
    <col min="8967" max="9212" width="7" style="2"/>
    <col min="9213" max="9213" width="4.109375" style="2" customWidth="1"/>
    <col min="9214" max="9214" width="3.6640625" style="2" customWidth="1"/>
    <col min="9215" max="9215" width="4.88671875" style="2" customWidth="1"/>
    <col min="9216" max="9216" width="10.33203125" style="2" customWidth="1"/>
    <col min="9217" max="9217" width="13.33203125" style="2" customWidth="1"/>
    <col min="9218" max="9218" width="5.5546875" style="2" customWidth="1"/>
    <col min="9219" max="9219" width="6.44140625" style="2" customWidth="1"/>
    <col min="9220" max="9220" width="11.6640625" style="2" customWidth="1"/>
    <col min="9221" max="9221" width="10.44140625" style="2" customWidth="1"/>
    <col min="9222" max="9222" width="13.44140625" style="2" customWidth="1"/>
    <col min="9223" max="9468" width="7" style="2"/>
    <col min="9469" max="9469" width="4.109375" style="2" customWidth="1"/>
    <col min="9470" max="9470" width="3.6640625" style="2" customWidth="1"/>
    <col min="9471" max="9471" width="4.88671875" style="2" customWidth="1"/>
    <col min="9472" max="9472" width="10.33203125" style="2" customWidth="1"/>
    <col min="9473" max="9473" width="13.33203125" style="2" customWidth="1"/>
    <col min="9474" max="9474" width="5.5546875" style="2" customWidth="1"/>
    <col min="9475" max="9475" width="6.44140625" style="2" customWidth="1"/>
    <col min="9476" max="9476" width="11.6640625" style="2" customWidth="1"/>
    <col min="9477" max="9477" width="10.44140625" style="2" customWidth="1"/>
    <col min="9478" max="9478" width="13.44140625" style="2" customWidth="1"/>
    <col min="9479" max="9724" width="7" style="2"/>
    <col min="9725" max="9725" width="4.109375" style="2" customWidth="1"/>
    <col min="9726" max="9726" width="3.6640625" style="2" customWidth="1"/>
    <col min="9727" max="9727" width="4.88671875" style="2" customWidth="1"/>
    <col min="9728" max="9728" width="10.33203125" style="2" customWidth="1"/>
    <col min="9729" max="9729" width="13.33203125" style="2" customWidth="1"/>
    <col min="9730" max="9730" width="5.5546875" style="2" customWidth="1"/>
    <col min="9731" max="9731" width="6.44140625" style="2" customWidth="1"/>
    <col min="9732" max="9732" width="11.6640625" style="2" customWidth="1"/>
    <col min="9733" max="9733" width="10.44140625" style="2" customWidth="1"/>
    <col min="9734" max="9734" width="13.44140625" style="2" customWidth="1"/>
    <col min="9735" max="9980" width="7" style="2"/>
    <col min="9981" max="9981" width="4.109375" style="2" customWidth="1"/>
    <col min="9982" max="9982" width="3.6640625" style="2" customWidth="1"/>
    <col min="9983" max="9983" width="4.88671875" style="2" customWidth="1"/>
    <col min="9984" max="9984" width="10.33203125" style="2" customWidth="1"/>
    <col min="9985" max="9985" width="13.33203125" style="2" customWidth="1"/>
    <col min="9986" max="9986" width="5.5546875" style="2" customWidth="1"/>
    <col min="9987" max="9987" width="6.44140625" style="2" customWidth="1"/>
    <col min="9988" max="9988" width="11.6640625" style="2" customWidth="1"/>
    <col min="9989" max="9989" width="10.44140625" style="2" customWidth="1"/>
    <col min="9990" max="9990" width="13.44140625" style="2" customWidth="1"/>
    <col min="9991" max="10236" width="7" style="2"/>
    <col min="10237" max="10237" width="4.109375" style="2" customWidth="1"/>
    <col min="10238" max="10238" width="3.6640625" style="2" customWidth="1"/>
    <col min="10239" max="10239" width="4.88671875" style="2" customWidth="1"/>
    <col min="10240" max="10240" width="10.33203125" style="2" customWidth="1"/>
    <col min="10241" max="10241" width="13.33203125" style="2" customWidth="1"/>
    <col min="10242" max="10242" width="5.5546875" style="2" customWidth="1"/>
    <col min="10243" max="10243" width="6.44140625" style="2" customWidth="1"/>
    <col min="10244" max="10244" width="11.6640625" style="2" customWidth="1"/>
    <col min="10245" max="10245" width="10.44140625" style="2" customWidth="1"/>
    <col min="10246" max="10246" width="13.44140625" style="2" customWidth="1"/>
    <col min="10247" max="10492" width="7" style="2"/>
    <col min="10493" max="10493" width="4.109375" style="2" customWidth="1"/>
    <col min="10494" max="10494" width="3.6640625" style="2" customWidth="1"/>
    <col min="10495" max="10495" width="4.88671875" style="2" customWidth="1"/>
    <col min="10496" max="10496" width="10.33203125" style="2" customWidth="1"/>
    <col min="10497" max="10497" width="13.33203125" style="2" customWidth="1"/>
    <col min="10498" max="10498" width="5.5546875" style="2" customWidth="1"/>
    <col min="10499" max="10499" width="6.44140625" style="2" customWidth="1"/>
    <col min="10500" max="10500" width="11.6640625" style="2" customWidth="1"/>
    <col min="10501" max="10501" width="10.44140625" style="2" customWidth="1"/>
    <col min="10502" max="10502" width="13.44140625" style="2" customWidth="1"/>
    <col min="10503" max="10748" width="7" style="2"/>
    <col min="10749" max="10749" width="4.109375" style="2" customWidth="1"/>
    <col min="10750" max="10750" width="3.6640625" style="2" customWidth="1"/>
    <col min="10751" max="10751" width="4.88671875" style="2" customWidth="1"/>
    <col min="10752" max="10752" width="10.33203125" style="2" customWidth="1"/>
    <col min="10753" max="10753" width="13.33203125" style="2" customWidth="1"/>
    <col min="10754" max="10754" width="5.5546875" style="2" customWidth="1"/>
    <col min="10755" max="10755" width="6.44140625" style="2" customWidth="1"/>
    <col min="10756" max="10756" width="11.6640625" style="2" customWidth="1"/>
    <col min="10757" max="10757" width="10.44140625" style="2" customWidth="1"/>
    <col min="10758" max="10758" width="13.44140625" style="2" customWidth="1"/>
    <col min="10759" max="11004" width="7" style="2"/>
    <col min="11005" max="11005" width="4.109375" style="2" customWidth="1"/>
    <col min="11006" max="11006" width="3.6640625" style="2" customWidth="1"/>
    <col min="11007" max="11007" width="4.88671875" style="2" customWidth="1"/>
    <col min="11008" max="11008" width="10.33203125" style="2" customWidth="1"/>
    <col min="11009" max="11009" width="13.33203125" style="2" customWidth="1"/>
    <col min="11010" max="11010" width="5.5546875" style="2" customWidth="1"/>
    <col min="11011" max="11011" width="6.44140625" style="2" customWidth="1"/>
    <col min="11012" max="11012" width="11.6640625" style="2" customWidth="1"/>
    <col min="11013" max="11013" width="10.44140625" style="2" customWidth="1"/>
    <col min="11014" max="11014" width="13.44140625" style="2" customWidth="1"/>
    <col min="11015" max="11260" width="7" style="2"/>
    <col min="11261" max="11261" width="4.109375" style="2" customWidth="1"/>
    <col min="11262" max="11262" width="3.6640625" style="2" customWidth="1"/>
    <col min="11263" max="11263" width="4.88671875" style="2" customWidth="1"/>
    <col min="11264" max="11264" width="10.33203125" style="2" customWidth="1"/>
    <col min="11265" max="11265" width="13.33203125" style="2" customWidth="1"/>
    <col min="11266" max="11266" width="5.5546875" style="2" customWidth="1"/>
    <col min="11267" max="11267" width="6.44140625" style="2" customWidth="1"/>
    <col min="11268" max="11268" width="11.6640625" style="2" customWidth="1"/>
    <col min="11269" max="11269" width="10.44140625" style="2" customWidth="1"/>
    <col min="11270" max="11270" width="13.44140625" style="2" customWidth="1"/>
    <col min="11271" max="11516" width="7" style="2"/>
    <col min="11517" max="11517" width="4.109375" style="2" customWidth="1"/>
    <col min="11518" max="11518" width="3.6640625" style="2" customWidth="1"/>
    <col min="11519" max="11519" width="4.88671875" style="2" customWidth="1"/>
    <col min="11520" max="11520" width="10.33203125" style="2" customWidth="1"/>
    <col min="11521" max="11521" width="13.33203125" style="2" customWidth="1"/>
    <col min="11522" max="11522" width="5.5546875" style="2" customWidth="1"/>
    <col min="11523" max="11523" width="6.44140625" style="2" customWidth="1"/>
    <col min="11524" max="11524" width="11.6640625" style="2" customWidth="1"/>
    <col min="11525" max="11525" width="10.44140625" style="2" customWidth="1"/>
    <col min="11526" max="11526" width="13.44140625" style="2" customWidth="1"/>
    <col min="11527" max="11772" width="7" style="2"/>
    <col min="11773" max="11773" width="4.109375" style="2" customWidth="1"/>
    <col min="11774" max="11774" width="3.6640625" style="2" customWidth="1"/>
    <col min="11775" max="11775" width="4.88671875" style="2" customWidth="1"/>
    <col min="11776" max="11776" width="10.33203125" style="2" customWidth="1"/>
    <col min="11777" max="11777" width="13.33203125" style="2" customWidth="1"/>
    <col min="11778" max="11778" width="5.5546875" style="2" customWidth="1"/>
    <col min="11779" max="11779" width="6.44140625" style="2" customWidth="1"/>
    <col min="11780" max="11780" width="11.6640625" style="2" customWidth="1"/>
    <col min="11781" max="11781" width="10.44140625" style="2" customWidth="1"/>
    <col min="11782" max="11782" width="13.44140625" style="2" customWidth="1"/>
    <col min="11783" max="12028" width="7" style="2"/>
    <col min="12029" max="12029" width="4.109375" style="2" customWidth="1"/>
    <col min="12030" max="12030" width="3.6640625" style="2" customWidth="1"/>
    <col min="12031" max="12031" width="4.88671875" style="2" customWidth="1"/>
    <col min="12032" max="12032" width="10.33203125" style="2" customWidth="1"/>
    <col min="12033" max="12033" width="13.33203125" style="2" customWidth="1"/>
    <col min="12034" max="12034" width="5.5546875" style="2" customWidth="1"/>
    <col min="12035" max="12035" width="6.44140625" style="2" customWidth="1"/>
    <col min="12036" max="12036" width="11.6640625" style="2" customWidth="1"/>
    <col min="12037" max="12037" width="10.44140625" style="2" customWidth="1"/>
    <col min="12038" max="12038" width="13.44140625" style="2" customWidth="1"/>
    <col min="12039" max="12284" width="7" style="2"/>
    <col min="12285" max="12285" width="4.109375" style="2" customWidth="1"/>
    <col min="12286" max="12286" width="3.6640625" style="2" customWidth="1"/>
    <col min="12287" max="12287" width="4.88671875" style="2" customWidth="1"/>
    <col min="12288" max="12288" width="10.33203125" style="2" customWidth="1"/>
    <col min="12289" max="12289" width="13.33203125" style="2" customWidth="1"/>
    <col min="12290" max="12290" width="5.5546875" style="2" customWidth="1"/>
    <col min="12291" max="12291" width="6.44140625" style="2" customWidth="1"/>
    <col min="12292" max="12292" width="11.6640625" style="2" customWidth="1"/>
    <col min="12293" max="12293" width="10.44140625" style="2" customWidth="1"/>
    <col min="12294" max="12294" width="13.44140625" style="2" customWidth="1"/>
    <col min="12295" max="12540" width="7" style="2"/>
    <col min="12541" max="12541" width="4.109375" style="2" customWidth="1"/>
    <col min="12542" max="12542" width="3.6640625" style="2" customWidth="1"/>
    <col min="12543" max="12543" width="4.88671875" style="2" customWidth="1"/>
    <col min="12544" max="12544" width="10.33203125" style="2" customWidth="1"/>
    <col min="12545" max="12545" width="13.33203125" style="2" customWidth="1"/>
    <col min="12546" max="12546" width="5.5546875" style="2" customWidth="1"/>
    <col min="12547" max="12547" width="6.44140625" style="2" customWidth="1"/>
    <col min="12548" max="12548" width="11.6640625" style="2" customWidth="1"/>
    <col min="12549" max="12549" width="10.44140625" style="2" customWidth="1"/>
    <col min="12550" max="12550" width="13.44140625" style="2" customWidth="1"/>
    <col min="12551" max="12796" width="7" style="2"/>
    <col min="12797" max="12797" width="4.109375" style="2" customWidth="1"/>
    <col min="12798" max="12798" width="3.6640625" style="2" customWidth="1"/>
    <col min="12799" max="12799" width="4.88671875" style="2" customWidth="1"/>
    <col min="12800" max="12800" width="10.33203125" style="2" customWidth="1"/>
    <col min="12801" max="12801" width="13.33203125" style="2" customWidth="1"/>
    <col min="12802" max="12802" width="5.5546875" style="2" customWidth="1"/>
    <col min="12803" max="12803" width="6.44140625" style="2" customWidth="1"/>
    <col min="12804" max="12804" width="11.6640625" style="2" customWidth="1"/>
    <col min="12805" max="12805" width="10.44140625" style="2" customWidth="1"/>
    <col min="12806" max="12806" width="13.44140625" style="2" customWidth="1"/>
    <col min="12807" max="13052" width="7" style="2"/>
    <col min="13053" max="13053" width="4.109375" style="2" customWidth="1"/>
    <col min="13054" max="13054" width="3.6640625" style="2" customWidth="1"/>
    <col min="13055" max="13055" width="4.88671875" style="2" customWidth="1"/>
    <col min="13056" max="13056" width="10.33203125" style="2" customWidth="1"/>
    <col min="13057" max="13057" width="13.33203125" style="2" customWidth="1"/>
    <col min="13058" max="13058" width="5.5546875" style="2" customWidth="1"/>
    <col min="13059" max="13059" width="6.44140625" style="2" customWidth="1"/>
    <col min="13060" max="13060" width="11.6640625" style="2" customWidth="1"/>
    <col min="13061" max="13061" width="10.44140625" style="2" customWidth="1"/>
    <col min="13062" max="13062" width="13.44140625" style="2" customWidth="1"/>
    <col min="13063" max="13308" width="7" style="2"/>
    <col min="13309" max="13309" width="4.109375" style="2" customWidth="1"/>
    <col min="13310" max="13310" width="3.6640625" style="2" customWidth="1"/>
    <col min="13311" max="13311" width="4.88671875" style="2" customWidth="1"/>
    <col min="13312" max="13312" width="10.33203125" style="2" customWidth="1"/>
    <col min="13313" max="13313" width="13.33203125" style="2" customWidth="1"/>
    <col min="13314" max="13314" width="5.5546875" style="2" customWidth="1"/>
    <col min="13315" max="13315" width="6.44140625" style="2" customWidth="1"/>
    <col min="13316" max="13316" width="11.6640625" style="2" customWidth="1"/>
    <col min="13317" max="13317" width="10.44140625" style="2" customWidth="1"/>
    <col min="13318" max="13318" width="13.44140625" style="2" customWidth="1"/>
    <col min="13319" max="13564" width="7" style="2"/>
    <col min="13565" max="13565" width="4.109375" style="2" customWidth="1"/>
    <col min="13566" max="13566" width="3.6640625" style="2" customWidth="1"/>
    <col min="13567" max="13567" width="4.88671875" style="2" customWidth="1"/>
    <col min="13568" max="13568" width="10.33203125" style="2" customWidth="1"/>
    <col min="13569" max="13569" width="13.33203125" style="2" customWidth="1"/>
    <col min="13570" max="13570" width="5.5546875" style="2" customWidth="1"/>
    <col min="13571" max="13571" width="6.44140625" style="2" customWidth="1"/>
    <col min="13572" max="13572" width="11.6640625" style="2" customWidth="1"/>
    <col min="13573" max="13573" width="10.44140625" style="2" customWidth="1"/>
    <col min="13574" max="13574" width="13.44140625" style="2" customWidth="1"/>
    <col min="13575" max="13820" width="7" style="2"/>
    <col min="13821" max="13821" width="4.109375" style="2" customWidth="1"/>
    <col min="13822" max="13822" width="3.6640625" style="2" customWidth="1"/>
    <col min="13823" max="13823" width="4.88671875" style="2" customWidth="1"/>
    <col min="13824" max="13824" width="10.33203125" style="2" customWidth="1"/>
    <col min="13825" max="13825" width="13.33203125" style="2" customWidth="1"/>
    <col min="13826" max="13826" width="5.5546875" style="2" customWidth="1"/>
    <col min="13827" max="13827" width="6.44140625" style="2" customWidth="1"/>
    <col min="13828" max="13828" width="11.6640625" style="2" customWidth="1"/>
    <col min="13829" max="13829" width="10.44140625" style="2" customWidth="1"/>
    <col min="13830" max="13830" width="13.44140625" style="2" customWidth="1"/>
    <col min="13831" max="14076" width="7" style="2"/>
    <col min="14077" max="14077" width="4.109375" style="2" customWidth="1"/>
    <col min="14078" max="14078" width="3.6640625" style="2" customWidth="1"/>
    <col min="14079" max="14079" width="4.88671875" style="2" customWidth="1"/>
    <col min="14080" max="14080" width="10.33203125" style="2" customWidth="1"/>
    <col min="14081" max="14081" width="13.33203125" style="2" customWidth="1"/>
    <col min="14082" max="14082" width="5.5546875" style="2" customWidth="1"/>
    <col min="14083" max="14083" width="6.44140625" style="2" customWidth="1"/>
    <col min="14084" max="14084" width="11.6640625" style="2" customWidth="1"/>
    <col min="14085" max="14085" width="10.44140625" style="2" customWidth="1"/>
    <col min="14086" max="14086" width="13.44140625" style="2" customWidth="1"/>
    <col min="14087" max="14332" width="7" style="2"/>
    <col min="14333" max="14333" width="4.109375" style="2" customWidth="1"/>
    <col min="14334" max="14334" width="3.6640625" style="2" customWidth="1"/>
    <col min="14335" max="14335" width="4.88671875" style="2" customWidth="1"/>
    <col min="14336" max="14336" width="10.33203125" style="2" customWidth="1"/>
    <col min="14337" max="14337" width="13.33203125" style="2" customWidth="1"/>
    <col min="14338" max="14338" width="5.5546875" style="2" customWidth="1"/>
    <col min="14339" max="14339" width="6.44140625" style="2" customWidth="1"/>
    <col min="14340" max="14340" width="11.6640625" style="2" customWidth="1"/>
    <col min="14341" max="14341" width="10.44140625" style="2" customWidth="1"/>
    <col min="14342" max="14342" width="13.44140625" style="2" customWidth="1"/>
    <col min="14343" max="14588" width="7" style="2"/>
    <col min="14589" max="14589" width="4.109375" style="2" customWidth="1"/>
    <col min="14590" max="14590" width="3.6640625" style="2" customWidth="1"/>
    <col min="14591" max="14591" width="4.88671875" style="2" customWidth="1"/>
    <col min="14592" max="14592" width="10.33203125" style="2" customWidth="1"/>
    <col min="14593" max="14593" width="13.33203125" style="2" customWidth="1"/>
    <col min="14594" max="14594" width="5.5546875" style="2" customWidth="1"/>
    <col min="14595" max="14595" width="6.44140625" style="2" customWidth="1"/>
    <col min="14596" max="14596" width="11.6640625" style="2" customWidth="1"/>
    <col min="14597" max="14597" width="10.44140625" style="2" customWidth="1"/>
    <col min="14598" max="14598" width="13.44140625" style="2" customWidth="1"/>
    <col min="14599" max="14844" width="7" style="2"/>
    <col min="14845" max="14845" width="4.109375" style="2" customWidth="1"/>
    <col min="14846" max="14846" width="3.6640625" style="2" customWidth="1"/>
    <col min="14847" max="14847" width="4.88671875" style="2" customWidth="1"/>
    <col min="14848" max="14848" width="10.33203125" style="2" customWidth="1"/>
    <col min="14849" max="14849" width="13.33203125" style="2" customWidth="1"/>
    <col min="14850" max="14850" width="5.5546875" style="2" customWidth="1"/>
    <col min="14851" max="14851" width="6.44140625" style="2" customWidth="1"/>
    <col min="14852" max="14852" width="11.6640625" style="2" customWidth="1"/>
    <col min="14853" max="14853" width="10.44140625" style="2" customWidth="1"/>
    <col min="14854" max="14854" width="13.44140625" style="2" customWidth="1"/>
    <col min="14855" max="15100" width="7" style="2"/>
    <col min="15101" max="15101" width="4.109375" style="2" customWidth="1"/>
    <col min="15102" max="15102" width="3.6640625" style="2" customWidth="1"/>
    <col min="15103" max="15103" width="4.88671875" style="2" customWidth="1"/>
    <col min="15104" max="15104" width="10.33203125" style="2" customWidth="1"/>
    <col min="15105" max="15105" width="13.33203125" style="2" customWidth="1"/>
    <col min="15106" max="15106" width="5.5546875" style="2" customWidth="1"/>
    <col min="15107" max="15107" width="6.44140625" style="2" customWidth="1"/>
    <col min="15108" max="15108" width="11.6640625" style="2" customWidth="1"/>
    <col min="15109" max="15109" width="10.44140625" style="2" customWidth="1"/>
    <col min="15110" max="15110" width="13.44140625" style="2" customWidth="1"/>
    <col min="15111" max="15356" width="7" style="2"/>
    <col min="15357" max="15357" width="4.109375" style="2" customWidth="1"/>
    <col min="15358" max="15358" width="3.6640625" style="2" customWidth="1"/>
    <col min="15359" max="15359" width="4.88671875" style="2" customWidth="1"/>
    <col min="15360" max="15360" width="10.33203125" style="2" customWidth="1"/>
    <col min="15361" max="15361" width="13.33203125" style="2" customWidth="1"/>
    <col min="15362" max="15362" width="5.5546875" style="2" customWidth="1"/>
    <col min="15363" max="15363" width="6.44140625" style="2" customWidth="1"/>
    <col min="15364" max="15364" width="11.6640625" style="2" customWidth="1"/>
    <col min="15365" max="15365" width="10.44140625" style="2" customWidth="1"/>
    <col min="15366" max="15366" width="13.44140625" style="2" customWidth="1"/>
    <col min="15367" max="15612" width="7" style="2"/>
    <col min="15613" max="15613" width="4.109375" style="2" customWidth="1"/>
    <col min="15614" max="15614" width="3.6640625" style="2" customWidth="1"/>
    <col min="15615" max="15615" width="4.88671875" style="2" customWidth="1"/>
    <col min="15616" max="15616" width="10.33203125" style="2" customWidth="1"/>
    <col min="15617" max="15617" width="13.33203125" style="2" customWidth="1"/>
    <col min="15618" max="15618" width="5.5546875" style="2" customWidth="1"/>
    <col min="15619" max="15619" width="6.44140625" style="2" customWidth="1"/>
    <col min="15620" max="15620" width="11.6640625" style="2" customWidth="1"/>
    <col min="15621" max="15621" width="10.44140625" style="2" customWidth="1"/>
    <col min="15622" max="15622" width="13.44140625" style="2" customWidth="1"/>
    <col min="15623" max="15868" width="7" style="2"/>
    <col min="15869" max="15869" width="4.109375" style="2" customWidth="1"/>
    <col min="15870" max="15870" width="3.6640625" style="2" customWidth="1"/>
    <col min="15871" max="15871" width="4.88671875" style="2" customWidth="1"/>
    <col min="15872" max="15872" width="10.33203125" style="2" customWidth="1"/>
    <col min="15873" max="15873" width="13.33203125" style="2" customWidth="1"/>
    <col min="15874" max="15874" width="5.5546875" style="2" customWidth="1"/>
    <col min="15875" max="15875" width="6.44140625" style="2" customWidth="1"/>
    <col min="15876" max="15876" width="11.6640625" style="2" customWidth="1"/>
    <col min="15877" max="15877" width="10.44140625" style="2" customWidth="1"/>
    <col min="15878" max="15878" width="13.44140625" style="2" customWidth="1"/>
    <col min="15879" max="16124" width="7" style="2"/>
    <col min="16125" max="16125" width="4.109375" style="2" customWidth="1"/>
    <col min="16126" max="16126" width="3.6640625" style="2" customWidth="1"/>
    <col min="16127" max="16127" width="4.88671875" style="2" customWidth="1"/>
    <col min="16128" max="16128" width="10.33203125" style="2" customWidth="1"/>
    <col min="16129" max="16129" width="13.33203125" style="2" customWidth="1"/>
    <col min="16130" max="16130" width="5.5546875" style="2" customWidth="1"/>
    <col min="16131" max="16131" width="6.44140625" style="2" customWidth="1"/>
    <col min="16132" max="16132" width="11.6640625" style="2" customWidth="1"/>
    <col min="16133" max="16133" width="10.44140625" style="2" customWidth="1"/>
    <col min="16134" max="16134" width="13.44140625" style="2" customWidth="1"/>
    <col min="16135" max="16384" width="7" style="2"/>
  </cols>
  <sheetData>
    <row r="1" spans="1:27" s="36" customFormat="1" ht="37.5" x14ac:dyDescent="0.3">
      <c r="A1" s="105" t="s">
        <v>0</v>
      </c>
      <c r="B1" s="105" t="s">
        <v>64</v>
      </c>
      <c r="C1" s="106" t="s">
        <v>39</v>
      </c>
      <c r="D1" s="106" t="s">
        <v>661</v>
      </c>
      <c r="E1" s="106" t="s">
        <v>658</v>
      </c>
      <c r="F1" s="106" t="s">
        <v>2</v>
      </c>
      <c r="G1" s="106" t="s">
        <v>59</v>
      </c>
      <c r="H1" s="106" t="s">
        <v>635</v>
      </c>
      <c r="I1" s="106" t="s">
        <v>1</v>
      </c>
      <c r="J1" s="106" t="s">
        <v>677</v>
      </c>
      <c r="K1" s="106" t="s">
        <v>60</v>
      </c>
      <c r="L1" s="106" t="s">
        <v>1481</v>
      </c>
      <c r="M1" s="106" t="s">
        <v>1449</v>
      </c>
      <c r="N1" s="107" t="s">
        <v>1415</v>
      </c>
      <c r="O1" s="106" t="s">
        <v>1351</v>
      </c>
      <c r="P1" s="106" t="s">
        <v>1352</v>
      </c>
      <c r="Q1" s="106" t="s">
        <v>1353</v>
      </c>
      <c r="R1" s="106" t="s">
        <v>1354</v>
      </c>
      <c r="S1" s="106" t="s">
        <v>1355</v>
      </c>
      <c r="T1" s="106" t="s">
        <v>1356</v>
      </c>
      <c r="U1" s="106" t="s">
        <v>1357</v>
      </c>
      <c r="V1" s="106" t="s">
        <v>1358</v>
      </c>
      <c r="W1" s="106" t="s">
        <v>1359</v>
      </c>
      <c r="X1" s="106" t="s">
        <v>1360</v>
      </c>
      <c r="Y1" s="106" t="s">
        <v>1361</v>
      </c>
      <c r="Z1" s="106" t="s">
        <v>58</v>
      </c>
      <c r="AA1" s="106" t="s">
        <v>659</v>
      </c>
    </row>
    <row r="2" spans="1:27" s="80" customFormat="1" ht="37.5" x14ac:dyDescent="0.3">
      <c r="A2" s="7">
        <v>1</v>
      </c>
      <c r="B2" s="75" t="s">
        <v>71</v>
      </c>
      <c r="C2" s="74" t="s">
        <v>72</v>
      </c>
      <c r="D2" s="74"/>
      <c r="E2" s="24" t="s">
        <v>135</v>
      </c>
      <c r="F2" s="74" t="s">
        <v>5</v>
      </c>
      <c r="G2" s="74" t="s">
        <v>8</v>
      </c>
      <c r="H2" s="74" t="s">
        <v>16</v>
      </c>
      <c r="I2" s="74" t="s">
        <v>5</v>
      </c>
      <c r="J2" s="74"/>
      <c r="K2" s="75" t="s">
        <v>1426</v>
      </c>
      <c r="L2" s="76" t="s">
        <v>1417</v>
      </c>
      <c r="M2" s="76" t="s">
        <v>1417</v>
      </c>
      <c r="N2" s="76" t="s">
        <v>1417</v>
      </c>
      <c r="O2" s="78" t="s">
        <v>1417</v>
      </c>
      <c r="P2" s="17">
        <v>66525</v>
      </c>
      <c r="Q2" s="7">
        <v>66525</v>
      </c>
      <c r="R2" s="7">
        <v>79401</v>
      </c>
      <c r="S2" s="17">
        <v>83692</v>
      </c>
      <c r="T2" s="78" t="s">
        <v>1417</v>
      </c>
      <c r="U2" s="17">
        <v>142600</v>
      </c>
      <c r="V2" s="17">
        <v>71669</v>
      </c>
      <c r="W2" s="17">
        <v>71669</v>
      </c>
      <c r="X2" s="17">
        <v>53240</v>
      </c>
      <c r="Y2" s="17">
        <v>86003</v>
      </c>
      <c r="Z2" s="74"/>
      <c r="AA2" s="79"/>
    </row>
    <row r="3" spans="1:27" s="80" customFormat="1" ht="37.5" x14ac:dyDescent="0.3">
      <c r="A3" s="7">
        <v>2</v>
      </c>
      <c r="B3" s="75" t="s">
        <v>71</v>
      </c>
      <c r="C3" s="74"/>
      <c r="D3" s="74"/>
      <c r="E3" s="24" t="s">
        <v>135</v>
      </c>
      <c r="F3" s="74" t="s">
        <v>4</v>
      </c>
      <c r="G3" s="81" t="s">
        <v>8</v>
      </c>
      <c r="H3" s="74" t="s">
        <v>16</v>
      </c>
      <c r="I3" s="74" t="s">
        <v>3</v>
      </c>
      <c r="J3" s="74"/>
      <c r="K3" s="75" t="s">
        <v>1451</v>
      </c>
      <c r="L3" s="69">
        <v>3382789</v>
      </c>
      <c r="M3" s="69">
        <v>5160851</v>
      </c>
      <c r="N3" s="69">
        <v>4981440</v>
      </c>
      <c r="O3" s="17">
        <v>4770170</v>
      </c>
      <c r="P3" s="17">
        <v>4737962</v>
      </c>
      <c r="Q3" s="7">
        <v>4309258</v>
      </c>
      <c r="R3" s="7">
        <v>5491731</v>
      </c>
      <c r="S3" s="17">
        <v>6196100</v>
      </c>
      <c r="T3" s="17">
        <v>5072704</v>
      </c>
      <c r="U3" s="17">
        <v>6115738</v>
      </c>
      <c r="V3" s="17">
        <v>6561652</v>
      </c>
      <c r="W3" s="17">
        <v>6140485</v>
      </c>
      <c r="X3" s="17">
        <v>3764133</v>
      </c>
      <c r="Y3" s="17">
        <v>5196900</v>
      </c>
      <c r="Z3" s="74"/>
      <c r="AA3" s="79"/>
    </row>
    <row r="4" spans="1:27" s="82" customFormat="1" ht="37.5" x14ac:dyDescent="0.3">
      <c r="A4" s="7">
        <v>3</v>
      </c>
      <c r="B4" s="75" t="s">
        <v>68</v>
      </c>
      <c r="C4" s="74"/>
      <c r="D4" s="74"/>
      <c r="E4" s="24" t="s">
        <v>135</v>
      </c>
      <c r="F4" s="74" t="s">
        <v>13</v>
      </c>
      <c r="G4" s="74" t="s">
        <v>8</v>
      </c>
      <c r="H4" s="74" t="s">
        <v>14</v>
      </c>
      <c r="I4" s="74" t="s">
        <v>12</v>
      </c>
      <c r="J4" s="74"/>
      <c r="K4" s="75" t="s">
        <v>1418</v>
      </c>
      <c r="L4" s="69">
        <v>57954790</v>
      </c>
      <c r="M4" s="69">
        <v>68512876</v>
      </c>
      <c r="N4" s="69">
        <v>64454211</v>
      </c>
      <c r="O4" s="17">
        <v>67160187</v>
      </c>
      <c r="P4" s="17">
        <v>69837234</v>
      </c>
      <c r="Q4" s="7">
        <v>61944466</v>
      </c>
      <c r="R4" s="7">
        <v>67862523</v>
      </c>
      <c r="S4" s="17">
        <v>61461841</v>
      </c>
      <c r="T4" s="17">
        <v>64609784</v>
      </c>
      <c r="U4" s="17">
        <v>70185316</v>
      </c>
      <c r="V4" s="17">
        <v>64523919</v>
      </c>
      <c r="W4" s="17">
        <v>66745747</v>
      </c>
      <c r="X4" s="17">
        <v>59653173</v>
      </c>
      <c r="Y4" s="17">
        <v>66601765</v>
      </c>
      <c r="Z4" s="74"/>
      <c r="AA4" s="79"/>
    </row>
    <row r="5" spans="1:27" s="80" customFormat="1" ht="37.5" x14ac:dyDescent="0.3">
      <c r="A5" s="7">
        <v>4</v>
      </c>
      <c r="B5" s="75" t="s">
        <v>71</v>
      </c>
      <c r="C5" s="74"/>
      <c r="D5" s="74"/>
      <c r="E5" s="24" t="s">
        <v>135</v>
      </c>
      <c r="F5" s="74" t="s">
        <v>7</v>
      </c>
      <c r="G5" s="74" t="s">
        <v>8</v>
      </c>
      <c r="H5" s="74" t="s">
        <v>16</v>
      </c>
      <c r="I5" s="74" t="s">
        <v>6</v>
      </c>
      <c r="J5" s="74"/>
      <c r="K5" s="75" t="s">
        <v>1430</v>
      </c>
      <c r="L5" s="69">
        <v>2660990</v>
      </c>
      <c r="M5" s="69">
        <v>3364865</v>
      </c>
      <c r="N5" s="69">
        <v>1927072</v>
      </c>
      <c r="O5" s="17">
        <v>152363</v>
      </c>
      <c r="P5" s="17">
        <v>2146</v>
      </c>
      <c r="Q5" s="7">
        <v>4292</v>
      </c>
      <c r="R5" s="74" t="s">
        <v>1417</v>
      </c>
      <c r="S5" s="17">
        <v>77255</v>
      </c>
      <c r="T5" s="78" t="s">
        <v>1417</v>
      </c>
      <c r="U5" s="17">
        <v>224180</v>
      </c>
      <c r="V5" s="17">
        <v>1257276</v>
      </c>
      <c r="W5" s="17">
        <v>1660668</v>
      </c>
      <c r="X5" s="17">
        <v>1445662</v>
      </c>
      <c r="Y5" s="17">
        <v>2031299</v>
      </c>
      <c r="Z5" s="74"/>
      <c r="AA5" s="79"/>
    </row>
    <row r="6" spans="1:27" s="3" customFormat="1" ht="37.5" x14ac:dyDescent="0.3">
      <c r="A6" s="7">
        <v>5</v>
      </c>
      <c r="B6" s="20" t="s">
        <v>68</v>
      </c>
      <c r="C6" s="52" t="e">
        <f>VLOOKUP(I6,#REF!,7,0)</f>
        <v>#REF!</v>
      </c>
      <c r="D6" s="19"/>
      <c r="E6" s="29" t="s">
        <v>416</v>
      </c>
      <c r="F6" s="19"/>
      <c r="G6" s="19"/>
      <c r="H6" s="52"/>
      <c r="I6" s="19" t="s">
        <v>643</v>
      </c>
      <c r="J6" s="19" t="s">
        <v>716</v>
      </c>
      <c r="K6" s="20" t="s">
        <v>1074</v>
      </c>
      <c r="L6" s="23">
        <v>1190354</v>
      </c>
      <c r="M6" s="23">
        <v>2475814</v>
      </c>
      <c r="N6" s="23"/>
      <c r="O6" s="21"/>
      <c r="P6" s="21"/>
      <c r="Q6" s="19"/>
      <c r="R6" s="19"/>
      <c r="S6" s="21"/>
      <c r="T6" s="21"/>
      <c r="U6" s="21"/>
      <c r="V6" s="21"/>
      <c r="W6" s="21"/>
      <c r="X6" s="21"/>
      <c r="Y6" s="21"/>
      <c r="Z6" s="19"/>
      <c r="AA6" s="19"/>
    </row>
    <row r="7" spans="1:27" s="3" customFormat="1" ht="37.5" x14ac:dyDescent="0.3">
      <c r="A7" s="7">
        <v>6</v>
      </c>
      <c r="B7" s="20" t="s">
        <v>68</v>
      </c>
      <c r="C7" s="52" t="e">
        <f>VLOOKUP(I7,#REF!,7,0)</f>
        <v>#REF!</v>
      </c>
      <c r="D7" s="19"/>
      <c r="E7" s="29" t="s">
        <v>416</v>
      </c>
      <c r="F7" s="19"/>
      <c r="G7" s="19"/>
      <c r="H7" s="52"/>
      <c r="I7" s="19" t="s">
        <v>649</v>
      </c>
      <c r="J7" s="19" t="s">
        <v>702</v>
      </c>
      <c r="K7" s="20" t="s">
        <v>1073</v>
      </c>
      <c r="L7" s="23">
        <v>1216512</v>
      </c>
      <c r="M7" s="23">
        <v>1795716</v>
      </c>
      <c r="N7" s="23"/>
      <c r="O7" s="21"/>
      <c r="P7" s="21"/>
      <c r="Q7" s="19"/>
      <c r="R7" s="19"/>
      <c r="S7" s="21"/>
      <c r="T7" s="21"/>
      <c r="U7" s="21"/>
      <c r="V7" s="21"/>
      <c r="W7" s="21"/>
      <c r="X7" s="21"/>
      <c r="Y7" s="21"/>
      <c r="Z7" s="19"/>
      <c r="AA7" s="19"/>
    </row>
    <row r="8" spans="1:27" s="3" customFormat="1" ht="37.5" x14ac:dyDescent="0.3">
      <c r="A8" s="7">
        <v>7</v>
      </c>
      <c r="B8" s="20" t="s">
        <v>68</v>
      </c>
      <c r="C8" s="52" t="e">
        <f>VLOOKUP(I8,#REF!,7,0)</f>
        <v>#REF!</v>
      </c>
      <c r="D8" s="19"/>
      <c r="E8" s="29" t="s">
        <v>416</v>
      </c>
      <c r="F8" s="19"/>
      <c r="G8" s="19"/>
      <c r="H8" s="52"/>
      <c r="I8" s="19" t="s">
        <v>648</v>
      </c>
      <c r="J8" s="19" t="s">
        <v>740</v>
      </c>
      <c r="K8" s="20" t="s">
        <v>1072</v>
      </c>
      <c r="L8" s="23">
        <v>2113344</v>
      </c>
      <c r="M8" s="23">
        <v>2419762</v>
      </c>
      <c r="N8" s="23"/>
      <c r="O8" s="21"/>
      <c r="P8" s="21"/>
      <c r="Q8" s="19"/>
      <c r="R8" s="19"/>
      <c r="S8" s="21"/>
      <c r="T8" s="21"/>
      <c r="U8" s="21"/>
      <c r="V8" s="21"/>
      <c r="W8" s="21"/>
      <c r="X8" s="21"/>
      <c r="Y8" s="21"/>
      <c r="Z8" s="19"/>
      <c r="AA8" s="19"/>
    </row>
    <row r="9" spans="1:27" s="3" customFormat="1" ht="37.5" x14ac:dyDescent="0.3">
      <c r="A9" s="7">
        <v>8</v>
      </c>
      <c r="B9" s="20" t="s">
        <v>68</v>
      </c>
      <c r="C9" s="52" t="e">
        <f>VLOOKUP(I9,#REF!,7,0)</f>
        <v>#REF!</v>
      </c>
      <c r="D9" s="19"/>
      <c r="E9" s="29" t="s">
        <v>416</v>
      </c>
      <c r="F9" s="19"/>
      <c r="G9" s="19"/>
      <c r="H9" s="52"/>
      <c r="I9" s="19" t="s">
        <v>650</v>
      </c>
      <c r="J9" s="19" t="s">
        <v>739</v>
      </c>
      <c r="K9" s="20" t="s">
        <v>1071</v>
      </c>
      <c r="L9" s="23">
        <v>1317406</v>
      </c>
      <c r="M9" s="23">
        <v>2012450</v>
      </c>
      <c r="N9" s="23"/>
      <c r="O9" s="21"/>
      <c r="P9" s="21"/>
      <c r="Q9" s="19"/>
      <c r="R9" s="19"/>
      <c r="S9" s="21"/>
      <c r="T9" s="21"/>
      <c r="U9" s="21"/>
      <c r="V9" s="21"/>
      <c r="W9" s="21"/>
      <c r="X9" s="21"/>
      <c r="Y9" s="21"/>
      <c r="Z9" s="19"/>
      <c r="AA9" s="19"/>
    </row>
    <row r="10" spans="1:27" s="3" customFormat="1" ht="37.5" x14ac:dyDescent="0.3">
      <c r="A10" s="7">
        <v>9</v>
      </c>
      <c r="B10" s="20" t="s">
        <v>68</v>
      </c>
      <c r="C10" s="52" t="e">
        <f>VLOOKUP(I10,#REF!,7,0)</f>
        <v>#REF!</v>
      </c>
      <c r="D10" s="19"/>
      <c r="E10" s="29" t="s">
        <v>416</v>
      </c>
      <c r="F10" s="19"/>
      <c r="G10" s="19"/>
      <c r="H10" s="52"/>
      <c r="I10" s="19" t="s">
        <v>646</v>
      </c>
      <c r="J10" s="19" t="s">
        <v>725</v>
      </c>
      <c r="K10" s="20" t="s">
        <v>1070</v>
      </c>
      <c r="L10" s="23">
        <v>3182069</v>
      </c>
      <c r="M10" s="23">
        <v>3574433</v>
      </c>
      <c r="N10" s="23"/>
      <c r="O10" s="21"/>
      <c r="P10" s="21"/>
      <c r="Q10" s="19"/>
      <c r="R10" s="19"/>
      <c r="S10" s="21"/>
      <c r="T10" s="21"/>
      <c r="U10" s="21"/>
      <c r="V10" s="21"/>
      <c r="W10" s="21"/>
      <c r="X10" s="21"/>
      <c r="Y10" s="21"/>
      <c r="Z10" s="19"/>
      <c r="AA10" s="19"/>
    </row>
    <row r="11" spans="1:27" s="3" customFormat="1" ht="37.5" x14ac:dyDescent="0.3">
      <c r="A11" s="7">
        <v>10</v>
      </c>
      <c r="B11" s="20" t="s">
        <v>68</v>
      </c>
      <c r="C11" s="52" t="e">
        <f>VLOOKUP(I11,#REF!,7,0)</f>
        <v>#REF!</v>
      </c>
      <c r="D11" s="19"/>
      <c r="E11" s="29" t="s">
        <v>416</v>
      </c>
      <c r="F11" s="19"/>
      <c r="G11" s="19"/>
      <c r="H11" s="52"/>
      <c r="I11" s="19" t="s">
        <v>657</v>
      </c>
      <c r="J11" s="19" t="s">
        <v>715</v>
      </c>
      <c r="K11" s="20" t="s">
        <v>1069</v>
      </c>
      <c r="L11" s="23">
        <v>636768</v>
      </c>
      <c r="M11" s="23">
        <v>1444457</v>
      </c>
      <c r="N11" s="23"/>
      <c r="O11" s="21"/>
      <c r="P11" s="21"/>
      <c r="Q11" s="19"/>
      <c r="R11" s="19"/>
      <c r="S11" s="21"/>
      <c r="T11" s="21"/>
      <c r="U11" s="21"/>
      <c r="V11" s="21"/>
      <c r="W11" s="21"/>
      <c r="X11" s="21"/>
      <c r="Y11" s="21"/>
      <c r="Z11" s="19"/>
      <c r="AA11" s="19"/>
    </row>
    <row r="12" spans="1:27" s="3" customFormat="1" ht="37.5" x14ac:dyDescent="0.3">
      <c r="A12" s="7">
        <v>11</v>
      </c>
      <c r="B12" s="20" t="s">
        <v>68</v>
      </c>
      <c r="C12" s="52" t="e">
        <f>VLOOKUP(I12,#REF!,7,0)</f>
        <v>#REF!</v>
      </c>
      <c r="D12" s="19"/>
      <c r="E12" s="29" t="s">
        <v>416</v>
      </c>
      <c r="F12" s="19"/>
      <c r="G12" s="19"/>
      <c r="H12" s="52"/>
      <c r="I12" s="19" t="s">
        <v>639</v>
      </c>
      <c r="J12" s="19" t="s">
        <v>724</v>
      </c>
      <c r="K12" s="20" t="s">
        <v>1065</v>
      </c>
      <c r="L12" s="23">
        <v>1657454</v>
      </c>
      <c r="M12" s="23">
        <v>2277763</v>
      </c>
      <c r="N12" s="23"/>
      <c r="O12" s="21"/>
      <c r="P12" s="21"/>
      <c r="Q12" s="19"/>
      <c r="R12" s="19"/>
      <c r="S12" s="21"/>
      <c r="T12" s="21"/>
      <c r="U12" s="21"/>
      <c r="V12" s="21"/>
      <c r="W12" s="21"/>
      <c r="X12" s="21"/>
      <c r="Y12" s="21"/>
      <c r="Z12" s="19"/>
      <c r="AA12" s="19"/>
    </row>
    <row r="13" spans="1:27" s="3" customFormat="1" ht="37.5" x14ac:dyDescent="0.3">
      <c r="A13" s="7">
        <v>12</v>
      </c>
      <c r="B13" s="20" t="s">
        <v>68</v>
      </c>
      <c r="C13" s="52" t="e">
        <f>VLOOKUP(I13,#REF!,7,0)</f>
        <v>#REF!</v>
      </c>
      <c r="D13" s="19"/>
      <c r="E13" s="29" t="s">
        <v>416</v>
      </c>
      <c r="F13" s="19"/>
      <c r="G13" s="19"/>
      <c r="H13" s="52"/>
      <c r="I13" s="19" t="s">
        <v>647</v>
      </c>
      <c r="J13" s="19" t="s">
        <v>738</v>
      </c>
      <c r="K13" s="20" t="s">
        <v>1067</v>
      </c>
      <c r="L13" s="23">
        <v>469735</v>
      </c>
      <c r="M13" s="23">
        <v>695049</v>
      </c>
      <c r="N13" s="23"/>
      <c r="O13" s="21"/>
      <c r="P13" s="21"/>
      <c r="Q13" s="19"/>
      <c r="R13" s="19"/>
      <c r="S13" s="21"/>
      <c r="T13" s="21"/>
      <c r="U13" s="21"/>
      <c r="V13" s="21"/>
      <c r="W13" s="21"/>
      <c r="X13" s="21"/>
      <c r="Y13" s="21"/>
      <c r="Z13" s="19"/>
      <c r="AA13" s="19"/>
    </row>
    <row r="14" spans="1:27" s="3" customFormat="1" ht="37.5" x14ac:dyDescent="0.3">
      <c r="A14" s="7">
        <v>13</v>
      </c>
      <c r="B14" s="20" t="s">
        <v>68</v>
      </c>
      <c r="C14" s="52" t="e">
        <f>VLOOKUP(I14,#REF!,7,0)</f>
        <v>#REF!</v>
      </c>
      <c r="D14" s="19"/>
      <c r="E14" s="29" t="s">
        <v>416</v>
      </c>
      <c r="F14" s="19"/>
      <c r="G14" s="19"/>
      <c r="H14" s="52"/>
      <c r="I14" s="19" t="s">
        <v>654</v>
      </c>
      <c r="J14" s="19" t="s">
        <v>737</v>
      </c>
      <c r="K14" s="20" t="s">
        <v>1066</v>
      </c>
      <c r="L14" s="23">
        <v>2412288</v>
      </c>
      <c r="M14" s="23">
        <v>3376382</v>
      </c>
      <c r="N14" s="23"/>
      <c r="O14" s="21"/>
      <c r="P14" s="21"/>
      <c r="Q14" s="19"/>
      <c r="R14" s="19"/>
      <c r="S14" s="21"/>
      <c r="T14" s="21"/>
      <c r="U14" s="21"/>
      <c r="V14" s="21"/>
      <c r="W14" s="21"/>
      <c r="X14" s="21"/>
      <c r="Y14" s="21"/>
      <c r="Z14" s="19"/>
      <c r="AA14" s="19"/>
    </row>
    <row r="15" spans="1:27" s="3" customFormat="1" ht="37.5" x14ac:dyDescent="0.3">
      <c r="A15" s="7">
        <v>14</v>
      </c>
      <c r="B15" s="20" t="s">
        <v>68</v>
      </c>
      <c r="C15" s="52" t="e">
        <f>VLOOKUP(I15,#REF!,7,0)</f>
        <v>#REF!</v>
      </c>
      <c r="D15" s="19"/>
      <c r="E15" s="29" t="s">
        <v>416</v>
      </c>
      <c r="F15" s="19"/>
      <c r="G15" s="19"/>
      <c r="H15" s="52"/>
      <c r="I15" s="19" t="s">
        <v>641</v>
      </c>
      <c r="J15" s="19" t="s">
        <v>701</v>
      </c>
      <c r="K15" s="20" t="s">
        <v>1068</v>
      </c>
      <c r="L15" s="23">
        <v>2621549</v>
      </c>
      <c r="M15" s="23">
        <v>3256805</v>
      </c>
      <c r="N15" s="23"/>
      <c r="O15" s="21"/>
      <c r="P15" s="21"/>
      <c r="Q15" s="19"/>
      <c r="R15" s="19"/>
      <c r="S15" s="21"/>
      <c r="T15" s="21"/>
      <c r="U15" s="21"/>
      <c r="V15" s="21"/>
      <c r="W15" s="21"/>
      <c r="X15" s="21"/>
      <c r="Y15" s="21"/>
      <c r="Z15" s="19"/>
      <c r="AA15" s="19"/>
    </row>
    <row r="16" spans="1:27" s="80" customFormat="1" ht="37.5" x14ac:dyDescent="0.3">
      <c r="A16" s="7">
        <v>15</v>
      </c>
      <c r="B16" s="75" t="s">
        <v>71</v>
      </c>
      <c r="C16" s="74"/>
      <c r="D16" s="74"/>
      <c r="E16" s="24" t="s">
        <v>135</v>
      </c>
      <c r="F16" s="74" t="s">
        <v>10</v>
      </c>
      <c r="G16" s="74" t="s">
        <v>8</v>
      </c>
      <c r="H16" s="74" t="s">
        <v>16</v>
      </c>
      <c r="I16" s="74" t="s">
        <v>9</v>
      </c>
      <c r="J16" s="74"/>
      <c r="K16" s="75" t="s">
        <v>1431</v>
      </c>
      <c r="L16" s="69">
        <v>1813336</v>
      </c>
      <c r="M16" s="69">
        <v>2266134</v>
      </c>
      <c r="N16" s="69">
        <v>1345517</v>
      </c>
      <c r="O16" s="17">
        <v>341208</v>
      </c>
      <c r="P16" s="17">
        <v>309018</v>
      </c>
      <c r="Q16" s="7">
        <v>341208</v>
      </c>
      <c r="R16" s="7">
        <v>373397</v>
      </c>
      <c r="S16" s="17">
        <v>315456</v>
      </c>
      <c r="T16" s="17">
        <v>240348</v>
      </c>
      <c r="U16" s="17">
        <v>422378</v>
      </c>
      <c r="V16" s="17">
        <v>1234751</v>
      </c>
      <c r="W16" s="17">
        <v>1453853</v>
      </c>
      <c r="X16" s="17">
        <v>1263419</v>
      </c>
      <c r="Y16" s="17">
        <v>1652478</v>
      </c>
      <c r="Z16" s="74"/>
      <c r="AA16" s="79"/>
    </row>
    <row r="17" spans="1:27" s="80" customFormat="1" ht="37.5" x14ac:dyDescent="0.3">
      <c r="A17" s="7">
        <v>16</v>
      </c>
      <c r="B17" s="75" t="s">
        <v>71</v>
      </c>
      <c r="C17" s="74" t="s">
        <v>63</v>
      </c>
      <c r="D17" s="74"/>
      <c r="E17" s="24" t="s">
        <v>135</v>
      </c>
      <c r="F17" s="74" t="s">
        <v>18</v>
      </c>
      <c r="G17" s="74" t="s">
        <v>8</v>
      </c>
      <c r="H17" s="74"/>
      <c r="I17" s="74" t="s">
        <v>18</v>
      </c>
      <c r="J17" s="74"/>
      <c r="K17" s="75" t="s">
        <v>1443</v>
      </c>
      <c r="L17" s="69">
        <v>4904323</v>
      </c>
      <c r="M17" s="69">
        <v>4531691</v>
      </c>
      <c r="N17" s="69">
        <v>5029335</v>
      </c>
      <c r="O17" s="17">
        <v>1454468</v>
      </c>
      <c r="P17" s="78" t="s">
        <v>1417</v>
      </c>
      <c r="Q17" s="7">
        <v>2048276</v>
      </c>
      <c r="R17" s="7">
        <v>9558622</v>
      </c>
      <c r="S17" s="78" t="s">
        <v>1417</v>
      </c>
      <c r="T17" s="17">
        <v>4969233</v>
      </c>
      <c r="U17" s="17">
        <v>5180170</v>
      </c>
      <c r="V17" s="17">
        <v>4853935</v>
      </c>
      <c r="W17" s="17">
        <v>5342540</v>
      </c>
      <c r="X17" s="17">
        <v>5622398</v>
      </c>
      <c r="Y17" s="17">
        <v>5826557</v>
      </c>
      <c r="Z17" s="74">
        <v>1911584144</v>
      </c>
      <c r="AA17" s="79"/>
    </row>
    <row r="18" spans="1:27" s="80" customFormat="1" ht="37.5" x14ac:dyDescent="0.3">
      <c r="A18" s="7">
        <v>17</v>
      </c>
      <c r="B18" s="75" t="s">
        <v>71</v>
      </c>
      <c r="C18" s="74" t="s">
        <v>65</v>
      </c>
      <c r="D18" s="74"/>
      <c r="E18" s="24" t="s">
        <v>135</v>
      </c>
      <c r="F18" s="74" t="s">
        <v>17</v>
      </c>
      <c r="G18" s="74" t="s">
        <v>8</v>
      </c>
      <c r="H18" s="74"/>
      <c r="I18" s="74" t="s">
        <v>17</v>
      </c>
      <c r="J18" s="74"/>
      <c r="K18" s="75" t="s">
        <v>1442</v>
      </c>
      <c r="L18" s="69">
        <v>4805756</v>
      </c>
      <c r="M18" s="69">
        <v>5548617</v>
      </c>
      <c r="N18" s="69">
        <v>5221662</v>
      </c>
      <c r="O18" s="17">
        <v>5837106</v>
      </c>
      <c r="P18" s="17">
        <v>9005684</v>
      </c>
      <c r="Q18" s="7">
        <v>4034046</v>
      </c>
      <c r="R18" s="7">
        <v>5450049</v>
      </c>
      <c r="S18" s="78" t="s">
        <v>1417</v>
      </c>
      <c r="T18" s="17">
        <v>2473798</v>
      </c>
      <c r="U18" s="17">
        <v>2603087</v>
      </c>
      <c r="V18" s="17">
        <v>2447613</v>
      </c>
      <c r="W18" s="17">
        <v>2605893</v>
      </c>
      <c r="X18" s="17">
        <v>2365032</v>
      </c>
      <c r="Y18" s="17">
        <v>2826109</v>
      </c>
      <c r="Z18" s="83">
        <v>232100068677</v>
      </c>
      <c r="AA18" s="79"/>
    </row>
    <row r="19" spans="1:27" s="80" customFormat="1" ht="37.5" x14ac:dyDescent="0.3">
      <c r="A19" s="7">
        <v>18</v>
      </c>
      <c r="B19" s="75" t="s">
        <v>71</v>
      </c>
      <c r="C19" s="74"/>
      <c r="D19" s="74"/>
      <c r="E19" s="24" t="s">
        <v>135</v>
      </c>
      <c r="F19" s="74" t="s">
        <v>19</v>
      </c>
      <c r="G19" s="74" t="s">
        <v>8</v>
      </c>
      <c r="H19" s="74"/>
      <c r="I19" s="74" t="s">
        <v>19</v>
      </c>
      <c r="J19" s="74"/>
      <c r="K19" s="75" t="s">
        <v>1444</v>
      </c>
      <c r="L19" s="69">
        <v>1403983</v>
      </c>
      <c r="M19" s="69">
        <v>1565056</v>
      </c>
      <c r="N19" s="69">
        <v>1709301</v>
      </c>
      <c r="O19" s="17">
        <v>500049</v>
      </c>
      <c r="P19" s="78" t="s">
        <v>1417</v>
      </c>
      <c r="Q19" s="74" t="s">
        <v>1417</v>
      </c>
      <c r="R19" s="7">
        <v>1557844</v>
      </c>
      <c r="S19" s="78" t="s">
        <v>1417</v>
      </c>
      <c r="T19" s="17">
        <v>1673240</v>
      </c>
      <c r="U19" s="17">
        <v>1785907</v>
      </c>
      <c r="V19" s="17">
        <v>1667680</v>
      </c>
      <c r="W19" s="17">
        <v>1725028</v>
      </c>
      <c r="X19" s="17">
        <v>1555278</v>
      </c>
      <c r="Y19" s="17">
        <v>1630977</v>
      </c>
      <c r="Z19" s="83">
        <v>231200069801</v>
      </c>
      <c r="AA19" s="79"/>
    </row>
    <row r="20" spans="1:27" s="80" customFormat="1" ht="37.5" x14ac:dyDescent="0.3">
      <c r="A20" s="7">
        <v>19</v>
      </c>
      <c r="B20" s="75" t="s">
        <v>71</v>
      </c>
      <c r="C20" s="74"/>
      <c r="D20" s="74"/>
      <c r="E20" s="24" t="s">
        <v>135</v>
      </c>
      <c r="F20" s="74" t="s">
        <v>20</v>
      </c>
      <c r="G20" s="74" t="s">
        <v>8</v>
      </c>
      <c r="H20" s="74" t="s">
        <v>32</v>
      </c>
      <c r="I20" s="74" t="s">
        <v>20</v>
      </c>
      <c r="J20" s="74"/>
      <c r="K20" s="75" t="s">
        <v>1445</v>
      </c>
      <c r="L20" s="69">
        <v>4805756</v>
      </c>
      <c r="M20" s="69">
        <v>5695266</v>
      </c>
      <c r="N20" s="69">
        <v>5010103</v>
      </c>
      <c r="O20" s="17">
        <v>5178388</v>
      </c>
      <c r="P20" s="17">
        <v>5060588</v>
      </c>
      <c r="Q20" s="7">
        <v>4844221</v>
      </c>
      <c r="R20" s="7">
        <v>5007699</v>
      </c>
      <c r="S20" s="69">
        <v>22141577</v>
      </c>
      <c r="T20" s="69">
        <v>168286</v>
      </c>
      <c r="U20" s="69">
        <v>168486</v>
      </c>
      <c r="V20" s="69">
        <v>167456</v>
      </c>
      <c r="W20" s="69">
        <v>3252779</v>
      </c>
      <c r="X20" s="69">
        <v>4225401</v>
      </c>
      <c r="Y20" s="69">
        <v>5707273</v>
      </c>
      <c r="Z20" s="74">
        <v>20426555</v>
      </c>
      <c r="AA20" s="79"/>
    </row>
    <row r="21" spans="1:27" s="3" customFormat="1" ht="37.5" x14ac:dyDescent="0.3">
      <c r="A21" s="7">
        <v>20</v>
      </c>
      <c r="B21" s="20" t="s">
        <v>68</v>
      </c>
      <c r="C21" s="52" t="e">
        <f>VLOOKUP(I21,#REF!,7,0)</f>
        <v>#REF!</v>
      </c>
      <c r="D21" s="19"/>
      <c r="E21" s="29" t="s">
        <v>416</v>
      </c>
      <c r="F21" s="19"/>
      <c r="G21" s="19"/>
      <c r="H21" s="52"/>
      <c r="I21" s="19" t="s">
        <v>651</v>
      </c>
      <c r="J21" s="19" t="s">
        <v>730</v>
      </c>
      <c r="K21" s="20" t="s">
        <v>1076</v>
      </c>
      <c r="L21" s="23">
        <v>670874</v>
      </c>
      <c r="M21" s="23">
        <v>938196</v>
      </c>
      <c r="N21" s="23"/>
      <c r="O21" s="21"/>
      <c r="P21" s="21"/>
      <c r="Q21" s="19"/>
      <c r="R21" s="19"/>
      <c r="S21" s="21"/>
      <c r="T21" s="21"/>
      <c r="U21" s="21"/>
      <c r="V21" s="21"/>
      <c r="W21" s="21"/>
      <c r="X21" s="21"/>
      <c r="Y21" s="21"/>
      <c r="Z21" s="19"/>
      <c r="AA21" s="19"/>
    </row>
    <row r="22" spans="1:27" s="3" customFormat="1" ht="37.5" x14ac:dyDescent="0.3">
      <c r="A22" s="7">
        <v>21</v>
      </c>
      <c r="B22" s="20" t="s">
        <v>68</v>
      </c>
      <c r="C22" s="52" t="e">
        <f>VLOOKUP(I22,#REF!,7,0)</f>
        <v>#REF!</v>
      </c>
      <c r="D22" s="19"/>
      <c r="E22" s="29" t="s">
        <v>416</v>
      </c>
      <c r="F22" s="19"/>
      <c r="G22" s="19"/>
      <c r="H22" s="52"/>
      <c r="I22" s="19" t="s">
        <v>638</v>
      </c>
      <c r="J22" s="19" t="s">
        <v>726</v>
      </c>
      <c r="K22" s="20" t="s">
        <v>1075</v>
      </c>
      <c r="L22" s="23">
        <v>1262066</v>
      </c>
      <c r="M22" s="23">
        <v>1501114</v>
      </c>
      <c r="N22" s="23"/>
      <c r="O22" s="21"/>
      <c r="P22" s="21"/>
      <c r="Q22" s="19"/>
      <c r="R22" s="19"/>
      <c r="S22" s="21"/>
      <c r="T22" s="21"/>
      <c r="U22" s="21"/>
      <c r="V22" s="21"/>
      <c r="W22" s="21"/>
      <c r="X22" s="21"/>
      <c r="Y22" s="21"/>
      <c r="Z22" s="19"/>
      <c r="AA22" s="19"/>
    </row>
    <row r="23" spans="1:27" s="3" customFormat="1" ht="37.5" x14ac:dyDescent="0.3">
      <c r="A23" s="7">
        <v>22</v>
      </c>
      <c r="B23" s="20" t="s">
        <v>68</v>
      </c>
      <c r="C23" s="52" t="e">
        <f>VLOOKUP(I23,#REF!,7,0)</f>
        <v>#REF!</v>
      </c>
      <c r="D23" s="19"/>
      <c r="E23" s="29" t="s">
        <v>416</v>
      </c>
      <c r="F23" s="19"/>
      <c r="G23" s="19"/>
      <c r="H23" s="52"/>
      <c r="I23" s="19" t="s">
        <v>652</v>
      </c>
      <c r="J23" s="19" t="s">
        <v>720</v>
      </c>
      <c r="K23" s="20" t="s">
        <v>1064</v>
      </c>
      <c r="L23" s="23">
        <v>732564</v>
      </c>
      <c r="M23" s="23">
        <v>609185</v>
      </c>
      <c r="N23" s="23"/>
      <c r="O23" s="21"/>
      <c r="P23" s="21"/>
      <c r="Q23" s="19"/>
      <c r="R23" s="19"/>
      <c r="S23" s="21"/>
      <c r="T23" s="21"/>
      <c r="U23" s="21"/>
      <c r="V23" s="21"/>
      <c r="W23" s="21"/>
      <c r="X23" s="21"/>
      <c r="Y23" s="21"/>
      <c r="Z23" s="19"/>
      <c r="AA23" s="19"/>
    </row>
    <row r="24" spans="1:27" s="3" customFormat="1" ht="37.5" x14ac:dyDescent="0.3">
      <c r="A24" s="7">
        <v>23</v>
      </c>
      <c r="B24" s="20" t="s">
        <v>68</v>
      </c>
      <c r="C24" s="52" t="e">
        <f>VLOOKUP(I24,#REF!,7,0)</f>
        <v>#REF!</v>
      </c>
      <c r="D24" s="19"/>
      <c r="E24" s="29" t="s">
        <v>416</v>
      </c>
      <c r="F24" s="19"/>
      <c r="G24" s="19"/>
      <c r="H24" s="52"/>
      <c r="I24" s="19" t="s">
        <v>645</v>
      </c>
      <c r="J24" s="19" t="s">
        <v>714</v>
      </c>
      <c r="K24" s="20" t="s">
        <v>1063</v>
      </c>
      <c r="L24" s="23">
        <v>452390</v>
      </c>
      <c r="M24" s="23">
        <v>480665</v>
      </c>
      <c r="N24" s="23"/>
      <c r="O24" s="21"/>
      <c r="P24" s="21"/>
      <c r="Q24" s="19"/>
      <c r="R24" s="19"/>
      <c r="S24" s="21"/>
      <c r="T24" s="21"/>
      <c r="U24" s="21"/>
      <c r="V24" s="21"/>
      <c r="W24" s="21"/>
      <c r="X24" s="21"/>
      <c r="Y24" s="21"/>
      <c r="Z24" s="19"/>
      <c r="AA24" s="19"/>
    </row>
    <row r="25" spans="1:27" s="3" customFormat="1" ht="37.5" x14ac:dyDescent="0.3">
      <c r="A25" s="7">
        <v>24</v>
      </c>
      <c r="B25" s="20" t="s">
        <v>68</v>
      </c>
      <c r="C25" s="52" t="e">
        <f>VLOOKUP(I25,#REF!,7,0)</f>
        <v>#REF!</v>
      </c>
      <c r="D25" s="19"/>
      <c r="E25" s="29" t="s">
        <v>416</v>
      </c>
      <c r="F25" s="19"/>
      <c r="G25" s="19"/>
      <c r="H25" s="52"/>
      <c r="I25" s="19" t="s">
        <v>644</v>
      </c>
      <c r="J25" s="19" t="s">
        <v>708</v>
      </c>
      <c r="K25" s="20" t="s">
        <v>1062</v>
      </c>
      <c r="L25" s="23">
        <v>403553</v>
      </c>
      <c r="M25" s="23">
        <v>580910</v>
      </c>
      <c r="N25" s="23"/>
      <c r="O25" s="21"/>
      <c r="P25" s="21"/>
      <c r="Q25" s="19"/>
      <c r="R25" s="19"/>
      <c r="S25" s="21"/>
      <c r="T25" s="21"/>
      <c r="U25" s="21"/>
      <c r="V25" s="21"/>
      <c r="W25" s="21"/>
      <c r="X25" s="21"/>
      <c r="Y25" s="21"/>
      <c r="Z25" s="19"/>
      <c r="AA25" s="19"/>
    </row>
    <row r="26" spans="1:27" s="3" customFormat="1" ht="37.5" x14ac:dyDescent="0.3">
      <c r="A26" s="7">
        <v>25</v>
      </c>
      <c r="B26" s="20" t="s">
        <v>68</v>
      </c>
      <c r="C26" s="52" t="e">
        <f>VLOOKUP(I26,#REF!,7,0)</f>
        <v>#REF!</v>
      </c>
      <c r="D26" s="19"/>
      <c r="E26" s="29" t="s">
        <v>416</v>
      </c>
      <c r="F26" s="19"/>
      <c r="G26" s="19"/>
      <c r="H26" s="52"/>
      <c r="I26" s="19" t="s">
        <v>656</v>
      </c>
      <c r="J26" s="19" t="s">
        <v>684</v>
      </c>
      <c r="K26" s="20" t="s">
        <v>1061</v>
      </c>
      <c r="L26" s="23">
        <v>339293</v>
      </c>
      <c r="M26" s="23">
        <v>490946</v>
      </c>
      <c r="N26" s="23"/>
      <c r="O26" s="21"/>
      <c r="P26" s="21"/>
      <c r="Q26" s="19"/>
      <c r="R26" s="19"/>
      <c r="S26" s="21"/>
      <c r="T26" s="21"/>
      <c r="U26" s="21"/>
      <c r="V26" s="21"/>
      <c r="W26" s="21"/>
      <c r="X26" s="21"/>
      <c r="Y26" s="21"/>
      <c r="Z26" s="19"/>
      <c r="AA26" s="19"/>
    </row>
    <row r="27" spans="1:27" s="3" customFormat="1" ht="37.5" x14ac:dyDescent="0.3">
      <c r="A27" s="7">
        <v>26</v>
      </c>
      <c r="B27" s="20" t="s">
        <v>68</v>
      </c>
      <c r="C27" s="52" t="e">
        <f>VLOOKUP(I27,#REF!,7,0)</f>
        <v>#REF!</v>
      </c>
      <c r="D27" s="19"/>
      <c r="E27" s="29" t="s">
        <v>416</v>
      </c>
      <c r="F27" s="19"/>
      <c r="G27" s="19"/>
      <c r="H27" s="52"/>
      <c r="I27" s="19" t="s">
        <v>640</v>
      </c>
      <c r="J27" s="19" t="s">
        <v>691</v>
      </c>
      <c r="K27" s="20" t="s">
        <v>1060</v>
      </c>
      <c r="L27" s="23">
        <v>809676</v>
      </c>
      <c r="M27" s="23">
        <v>786542</v>
      </c>
      <c r="N27" s="23"/>
      <c r="O27" s="21"/>
      <c r="P27" s="21"/>
      <c r="Q27" s="19"/>
      <c r="R27" s="19"/>
      <c r="S27" s="21"/>
      <c r="T27" s="21"/>
      <c r="U27" s="21"/>
      <c r="V27" s="21"/>
      <c r="W27" s="21"/>
      <c r="X27" s="21"/>
      <c r="Y27" s="21"/>
      <c r="Z27" s="19"/>
      <c r="AA27" s="19"/>
    </row>
    <row r="28" spans="1:27" s="3" customFormat="1" ht="37.5" x14ac:dyDescent="0.3">
      <c r="A28" s="7">
        <v>27</v>
      </c>
      <c r="B28" s="20" t="s">
        <v>68</v>
      </c>
      <c r="C28" s="52" t="e">
        <f>VLOOKUP(I28,#REF!,7,0)</f>
        <v>#REF!</v>
      </c>
      <c r="D28" s="19"/>
      <c r="E28" s="29" t="s">
        <v>416</v>
      </c>
      <c r="F28" s="19"/>
      <c r="G28" s="19"/>
      <c r="H28" s="52"/>
      <c r="I28" s="19" t="s">
        <v>637</v>
      </c>
      <c r="J28" s="19" t="s">
        <v>736</v>
      </c>
      <c r="K28" s="20" t="s">
        <v>1059</v>
      </c>
      <c r="L28" s="23">
        <v>529502</v>
      </c>
      <c r="M28" s="23">
        <v>660593</v>
      </c>
      <c r="N28" s="23"/>
      <c r="O28" s="21"/>
      <c r="P28" s="21"/>
      <c r="Q28" s="19"/>
      <c r="R28" s="19"/>
      <c r="S28" s="21"/>
      <c r="T28" s="21"/>
      <c r="U28" s="21"/>
      <c r="V28" s="21"/>
      <c r="W28" s="21"/>
      <c r="X28" s="21"/>
      <c r="Y28" s="21"/>
      <c r="Z28" s="19"/>
      <c r="AA28" s="19"/>
    </row>
    <row r="29" spans="1:27" s="3" customFormat="1" ht="37.5" x14ac:dyDescent="0.3">
      <c r="A29" s="7">
        <v>28</v>
      </c>
      <c r="B29" s="20" t="s">
        <v>68</v>
      </c>
      <c r="C29" s="52" t="e">
        <f>VLOOKUP(I29,#REF!,7,0)</f>
        <v>#REF!</v>
      </c>
      <c r="D29" s="19"/>
      <c r="E29" s="29" t="s">
        <v>416</v>
      </c>
      <c r="F29" s="19"/>
      <c r="G29" s="19"/>
      <c r="H29" s="52"/>
      <c r="I29" s="19" t="s">
        <v>655</v>
      </c>
      <c r="J29" s="19" t="s">
        <v>735</v>
      </c>
      <c r="K29" s="20" t="s">
        <v>1058</v>
      </c>
      <c r="L29" s="23">
        <v>658022</v>
      </c>
      <c r="M29" s="23">
        <v>706860</v>
      </c>
      <c r="N29" s="23"/>
      <c r="O29" s="21"/>
      <c r="P29" s="21"/>
      <c r="Q29" s="19"/>
      <c r="R29" s="19"/>
      <c r="S29" s="21"/>
      <c r="T29" s="21"/>
      <c r="U29" s="21"/>
      <c r="V29" s="21"/>
      <c r="W29" s="21"/>
      <c r="X29" s="21"/>
      <c r="Y29" s="21"/>
      <c r="Z29" s="19"/>
      <c r="AA29" s="19"/>
    </row>
    <row r="30" spans="1:27" s="3" customFormat="1" ht="37.5" x14ac:dyDescent="0.3">
      <c r="A30" s="7">
        <v>29</v>
      </c>
      <c r="B30" s="20" t="s">
        <v>68</v>
      </c>
      <c r="C30" s="52" t="e">
        <f>VLOOKUP(I30,#REF!,7,0)</f>
        <v>#REF!</v>
      </c>
      <c r="D30" s="19"/>
      <c r="E30" s="29" t="s">
        <v>416</v>
      </c>
      <c r="F30" s="19"/>
      <c r="G30" s="19"/>
      <c r="H30" s="52"/>
      <c r="I30" s="19" t="s">
        <v>653</v>
      </c>
      <c r="J30" s="19" t="s">
        <v>734</v>
      </c>
      <c r="K30" s="20" t="s">
        <v>1057</v>
      </c>
      <c r="L30" s="23">
        <v>676015</v>
      </c>
      <c r="M30" s="23">
        <v>753127</v>
      </c>
      <c r="N30" s="23"/>
      <c r="O30" s="21"/>
      <c r="P30" s="21"/>
      <c r="Q30" s="19"/>
      <c r="R30" s="19"/>
      <c r="S30" s="21"/>
      <c r="T30" s="21"/>
      <c r="U30" s="21"/>
      <c r="V30" s="21"/>
      <c r="W30" s="21"/>
      <c r="X30" s="21"/>
      <c r="Y30" s="21"/>
      <c r="Z30" s="19"/>
      <c r="AA30" s="19"/>
    </row>
    <row r="31" spans="1:27" s="3" customFormat="1" ht="37.5" x14ac:dyDescent="0.3">
      <c r="A31" s="7">
        <v>30</v>
      </c>
      <c r="B31" s="20" t="s">
        <v>68</v>
      </c>
      <c r="C31" s="52"/>
      <c r="D31" s="19"/>
      <c r="E31" s="29" t="s">
        <v>416</v>
      </c>
      <c r="F31" s="19"/>
      <c r="G31" s="19"/>
      <c r="H31" s="52"/>
      <c r="I31" s="19" t="s">
        <v>660</v>
      </c>
      <c r="J31" s="19" t="s">
        <v>713</v>
      </c>
      <c r="K31" s="20" t="s">
        <v>1056</v>
      </c>
      <c r="L31" s="23"/>
      <c r="M31" s="6"/>
      <c r="N31" s="23"/>
      <c r="O31" s="21"/>
      <c r="P31" s="21"/>
      <c r="Q31" s="19"/>
      <c r="R31" s="19"/>
      <c r="S31" s="21"/>
      <c r="T31" s="21"/>
      <c r="U31" s="21"/>
      <c r="V31" s="21"/>
      <c r="W31" s="21"/>
      <c r="X31" s="21"/>
      <c r="Y31" s="21"/>
      <c r="Z31" s="19"/>
      <c r="AA31" s="19"/>
    </row>
    <row r="32" spans="1:27" s="3" customFormat="1" ht="37.5" x14ac:dyDescent="0.3">
      <c r="A32" s="7">
        <v>31</v>
      </c>
      <c r="B32" s="20" t="s">
        <v>68</v>
      </c>
      <c r="C32" s="52" t="e">
        <f>VLOOKUP(I32,#REF!,7,0)</f>
        <v>#REF!</v>
      </c>
      <c r="D32" s="19"/>
      <c r="E32" s="29" t="s">
        <v>416</v>
      </c>
      <c r="F32" s="19"/>
      <c r="G32" s="19"/>
      <c r="H32" s="52"/>
      <c r="I32" s="19" t="s">
        <v>642</v>
      </c>
      <c r="J32" s="19" t="s">
        <v>707</v>
      </c>
      <c r="K32" s="20" t="s">
        <v>1055</v>
      </c>
      <c r="L32" s="23">
        <v>640030</v>
      </c>
      <c r="M32" s="23">
        <v>909922</v>
      </c>
      <c r="N32" s="23"/>
      <c r="O32" s="21"/>
      <c r="P32" s="21"/>
      <c r="Q32" s="19"/>
      <c r="R32" s="19"/>
      <c r="S32" s="21"/>
      <c r="T32" s="21"/>
      <c r="U32" s="21"/>
      <c r="V32" s="21"/>
      <c r="W32" s="21"/>
      <c r="X32" s="21"/>
      <c r="Y32" s="21"/>
      <c r="Z32" s="19"/>
      <c r="AA32" s="19"/>
    </row>
    <row r="33" spans="1:27" s="82" customFormat="1" ht="37.5" x14ac:dyDescent="0.3">
      <c r="A33" s="7">
        <v>32</v>
      </c>
      <c r="B33" s="75" t="s">
        <v>71</v>
      </c>
      <c r="C33" s="74"/>
      <c r="D33" s="74"/>
      <c r="E33" s="24" t="s">
        <v>135</v>
      </c>
      <c r="F33" s="74" t="s">
        <v>21</v>
      </c>
      <c r="G33" s="74" t="s">
        <v>8</v>
      </c>
      <c r="H33" s="74"/>
      <c r="I33" s="74" t="s">
        <v>21</v>
      </c>
      <c r="J33" s="74"/>
      <c r="K33" s="75" t="s">
        <v>1420</v>
      </c>
      <c r="L33" s="69">
        <v>125012</v>
      </c>
      <c r="M33" s="69">
        <v>141841</v>
      </c>
      <c r="N33" s="69">
        <v>132224</v>
      </c>
      <c r="O33" s="17">
        <v>125012</v>
      </c>
      <c r="P33" s="17">
        <v>146649</v>
      </c>
      <c r="Q33" s="7">
        <v>141841</v>
      </c>
      <c r="R33" s="7">
        <v>310126</v>
      </c>
      <c r="S33" s="76" t="s">
        <v>1417</v>
      </c>
      <c r="T33" s="69">
        <v>132224</v>
      </c>
      <c r="U33" s="69">
        <v>144446</v>
      </c>
      <c r="V33" s="69">
        <v>135341</v>
      </c>
      <c r="W33" s="69">
        <v>135341</v>
      </c>
      <c r="X33" s="69">
        <v>119284</v>
      </c>
      <c r="Y33" s="69">
        <v>121578</v>
      </c>
      <c r="Z33" s="74">
        <v>21087599</v>
      </c>
      <c r="AA33" s="79"/>
    </row>
    <row r="34" spans="1:27" s="84" customFormat="1" ht="37.5" x14ac:dyDescent="0.25">
      <c r="A34" s="7">
        <v>33</v>
      </c>
      <c r="B34" s="75" t="s">
        <v>68</v>
      </c>
      <c r="C34" s="74"/>
      <c r="D34" s="74"/>
      <c r="E34" s="24" t="s">
        <v>135</v>
      </c>
      <c r="F34" s="74" t="s">
        <v>22</v>
      </c>
      <c r="G34" s="74" t="s">
        <v>8</v>
      </c>
      <c r="H34" s="74" t="s">
        <v>32</v>
      </c>
      <c r="I34" s="74" t="s">
        <v>22</v>
      </c>
      <c r="J34" s="74"/>
      <c r="K34" s="75" t="s">
        <v>1448</v>
      </c>
      <c r="L34" s="69">
        <v>3899418</v>
      </c>
      <c r="M34" s="69">
        <v>4135018</v>
      </c>
      <c r="N34" s="69">
        <v>4589389</v>
      </c>
      <c r="O34" s="17">
        <v>6185698</v>
      </c>
      <c r="P34" s="17">
        <v>8633051</v>
      </c>
      <c r="Q34" s="7">
        <v>1464681</v>
      </c>
      <c r="R34" s="7">
        <v>1521783</v>
      </c>
      <c r="S34" s="17">
        <v>1519379</v>
      </c>
      <c r="T34" s="17">
        <v>1466489</v>
      </c>
      <c r="U34" s="17">
        <v>1499310</v>
      </c>
      <c r="V34" s="17">
        <v>1401585</v>
      </c>
      <c r="W34" s="17">
        <v>1449757</v>
      </c>
      <c r="X34" s="17">
        <v>1309828</v>
      </c>
      <c r="Y34" s="17">
        <v>1376352</v>
      </c>
      <c r="Z34" s="83">
        <v>231200066853</v>
      </c>
      <c r="AA34" s="79"/>
    </row>
    <row r="35" spans="1:27" s="80" customFormat="1" ht="37.5" x14ac:dyDescent="0.3">
      <c r="A35" s="7">
        <v>34</v>
      </c>
      <c r="B35" s="75" t="s">
        <v>68</v>
      </c>
      <c r="C35" s="74"/>
      <c r="D35" s="74"/>
      <c r="E35" s="24" t="s">
        <v>135</v>
      </c>
      <c r="F35" s="41" t="s">
        <v>14</v>
      </c>
      <c r="G35" s="74" t="s">
        <v>8</v>
      </c>
      <c r="H35" s="74" t="s">
        <v>14</v>
      </c>
      <c r="I35" s="41" t="s">
        <v>14</v>
      </c>
      <c r="J35" s="41"/>
      <c r="K35" s="85" t="s">
        <v>1450</v>
      </c>
      <c r="L35" s="95">
        <v>26144925</v>
      </c>
      <c r="M35" s="95">
        <v>25550061</v>
      </c>
      <c r="N35" s="69">
        <v>29863622</v>
      </c>
      <c r="O35" s="17">
        <v>24505020</v>
      </c>
      <c r="P35" s="17">
        <v>33928128</v>
      </c>
      <c r="Q35" s="7">
        <v>28267380</v>
      </c>
      <c r="R35" s="7">
        <v>32433251</v>
      </c>
      <c r="S35" s="17">
        <v>34120947</v>
      </c>
      <c r="T35" s="17">
        <v>30647398</v>
      </c>
      <c r="U35" s="17">
        <v>39569742</v>
      </c>
      <c r="V35" s="17">
        <v>37724789</v>
      </c>
      <c r="W35" s="17">
        <v>37366315</v>
      </c>
      <c r="X35" s="17">
        <v>44368235</v>
      </c>
      <c r="Y35" s="17">
        <v>46477065</v>
      </c>
      <c r="Z35" s="74"/>
      <c r="AA35" s="79"/>
    </row>
    <row r="36" spans="1:27" s="82" customFormat="1" ht="37.5" x14ac:dyDescent="0.3">
      <c r="A36" s="7">
        <v>35</v>
      </c>
      <c r="B36" s="75" t="s">
        <v>68</v>
      </c>
      <c r="C36" s="88" t="s">
        <v>1408</v>
      </c>
      <c r="D36" s="87" t="s">
        <v>1369</v>
      </c>
      <c r="E36" s="24" t="s">
        <v>135</v>
      </c>
      <c r="F36" s="74" t="s">
        <v>23</v>
      </c>
      <c r="G36" s="74" t="s">
        <v>8</v>
      </c>
      <c r="H36" s="74" t="s">
        <v>16</v>
      </c>
      <c r="I36" s="74" t="s">
        <v>23</v>
      </c>
      <c r="J36" s="74"/>
      <c r="K36" s="75" t="s">
        <v>1427</v>
      </c>
      <c r="L36" s="69">
        <v>366919</v>
      </c>
      <c r="M36" s="69">
        <v>320652</v>
      </c>
      <c r="N36" s="69">
        <v>444031</v>
      </c>
      <c r="O36" s="17">
        <v>208980</v>
      </c>
      <c r="P36" s="17">
        <v>177984</v>
      </c>
      <c r="Q36" s="7">
        <v>155844</v>
      </c>
      <c r="R36" s="7">
        <v>180198</v>
      </c>
      <c r="S36" s="17">
        <v>182412</v>
      </c>
      <c r="T36" s="17">
        <v>87852</v>
      </c>
      <c r="U36" s="17">
        <v>472488</v>
      </c>
      <c r="V36" s="17">
        <v>459292</v>
      </c>
      <c r="W36" s="17">
        <v>423682</v>
      </c>
      <c r="X36" s="17">
        <v>456203</v>
      </c>
      <c r="Y36" s="17">
        <v>266710</v>
      </c>
      <c r="Z36" s="74">
        <v>1411284362</v>
      </c>
      <c r="AA36" s="79"/>
    </row>
    <row r="37" spans="1:27" s="46" customFormat="1" ht="37.5" x14ac:dyDescent="0.3">
      <c r="A37" s="7">
        <v>36</v>
      </c>
      <c r="B37" s="44" t="s">
        <v>68</v>
      </c>
      <c r="C37" s="64" t="s">
        <v>1376</v>
      </c>
      <c r="D37" s="65" t="s">
        <v>1369</v>
      </c>
      <c r="E37" s="44" t="s">
        <v>1433</v>
      </c>
      <c r="F37" s="42" t="s">
        <v>131</v>
      </c>
      <c r="G37" s="42" t="s">
        <v>8</v>
      </c>
      <c r="H37" s="42" t="s">
        <v>14</v>
      </c>
      <c r="I37" s="42" t="s">
        <v>131</v>
      </c>
      <c r="J37" s="42" t="s">
        <v>768</v>
      </c>
      <c r="K37" s="44" t="s">
        <v>1135</v>
      </c>
      <c r="L37" s="70">
        <v>539784</v>
      </c>
      <c r="M37" s="70">
        <v>598903</v>
      </c>
      <c r="N37" s="70"/>
      <c r="O37" s="45"/>
      <c r="P37" s="45"/>
      <c r="Q37" s="42"/>
      <c r="R37" s="42"/>
      <c r="S37" s="45"/>
      <c r="T37" s="45"/>
      <c r="U37" s="45"/>
      <c r="V37" s="45"/>
      <c r="W37" s="45"/>
      <c r="X37" s="45"/>
      <c r="Y37" s="45"/>
      <c r="Z37" s="42"/>
      <c r="AA37" s="43"/>
    </row>
    <row r="38" spans="1:27" s="46" customFormat="1" ht="37.5" x14ac:dyDescent="0.3">
      <c r="A38" s="7">
        <v>37</v>
      </c>
      <c r="B38" s="44" t="s">
        <v>68</v>
      </c>
      <c r="C38" s="64" t="s">
        <v>1375</v>
      </c>
      <c r="D38" s="65" t="s">
        <v>1369</v>
      </c>
      <c r="E38" s="44" t="s">
        <v>1433</v>
      </c>
      <c r="F38" s="42" t="s">
        <v>132</v>
      </c>
      <c r="G38" s="42" t="s">
        <v>8</v>
      </c>
      <c r="H38" s="42" t="s">
        <v>14</v>
      </c>
      <c r="I38" s="42" t="s">
        <v>132</v>
      </c>
      <c r="J38" s="42" t="s">
        <v>773</v>
      </c>
      <c r="K38" s="44" t="s">
        <v>1136</v>
      </c>
      <c r="L38" s="70">
        <v>46267</v>
      </c>
      <c r="M38" s="70">
        <v>77112</v>
      </c>
      <c r="N38" s="70"/>
      <c r="O38" s="45"/>
      <c r="P38" s="45"/>
      <c r="Q38" s="42"/>
      <c r="R38" s="42"/>
      <c r="S38" s="45"/>
      <c r="T38" s="45"/>
      <c r="U38" s="45"/>
      <c r="V38" s="45"/>
      <c r="W38" s="45"/>
      <c r="X38" s="45"/>
      <c r="Y38" s="45"/>
      <c r="Z38" s="42"/>
      <c r="AA38" s="43"/>
    </row>
    <row r="39" spans="1:27" s="14" customFormat="1" ht="37.5" x14ac:dyDescent="0.3">
      <c r="A39" s="7">
        <v>38</v>
      </c>
      <c r="B39" s="20" t="s">
        <v>68</v>
      </c>
      <c r="C39" s="108"/>
      <c r="D39" s="109"/>
      <c r="E39" s="29" t="s">
        <v>416</v>
      </c>
      <c r="F39" s="19"/>
      <c r="G39" s="19" t="s">
        <v>8</v>
      </c>
      <c r="H39" s="19" t="s">
        <v>14</v>
      </c>
      <c r="I39" s="29" t="s">
        <v>109</v>
      </c>
      <c r="J39" s="29" t="s">
        <v>935</v>
      </c>
      <c r="K39" s="20" t="s">
        <v>1113</v>
      </c>
      <c r="L39" s="23">
        <v>1579003</v>
      </c>
      <c r="M39" s="23">
        <v>1576433</v>
      </c>
      <c r="N39" s="23"/>
      <c r="O39" s="94"/>
      <c r="P39" s="94"/>
      <c r="Q39" s="29"/>
      <c r="R39" s="29"/>
      <c r="S39" s="21"/>
      <c r="T39" s="21"/>
      <c r="U39" s="21"/>
      <c r="V39" s="21"/>
      <c r="W39" s="21"/>
      <c r="X39" s="21"/>
      <c r="Y39" s="21"/>
      <c r="Z39" s="30"/>
      <c r="AA39" s="30"/>
    </row>
    <row r="40" spans="1:27" s="14" customFormat="1" ht="37.5" x14ac:dyDescent="0.3">
      <c r="A40" s="7">
        <v>39</v>
      </c>
      <c r="B40" s="20" t="s">
        <v>68</v>
      </c>
      <c r="C40" s="51" t="s">
        <v>1397</v>
      </c>
      <c r="D40" s="60" t="s">
        <v>1369</v>
      </c>
      <c r="E40" s="29" t="s">
        <v>416</v>
      </c>
      <c r="F40" s="29" t="s">
        <v>110</v>
      </c>
      <c r="G40" s="19" t="s">
        <v>8</v>
      </c>
      <c r="H40" s="19" t="s">
        <v>14</v>
      </c>
      <c r="I40" s="29" t="s">
        <v>110</v>
      </c>
      <c r="J40" s="29" t="s">
        <v>936</v>
      </c>
      <c r="K40" s="20" t="s">
        <v>1114</v>
      </c>
      <c r="L40" s="23">
        <v>2004977</v>
      </c>
      <c r="M40" s="23">
        <v>1978819</v>
      </c>
      <c r="N40" s="23"/>
      <c r="O40" s="21"/>
      <c r="P40" s="21"/>
      <c r="Q40" s="19"/>
      <c r="R40" s="19"/>
      <c r="S40" s="21"/>
      <c r="T40" s="21"/>
      <c r="U40" s="21"/>
      <c r="V40" s="21"/>
      <c r="W40" s="21"/>
      <c r="X40" s="21"/>
      <c r="Y40" s="21"/>
      <c r="Z40" s="30"/>
      <c r="AA40" s="30"/>
    </row>
    <row r="41" spans="1:27" s="14" customFormat="1" ht="37.5" x14ac:dyDescent="0.3">
      <c r="A41" s="7">
        <v>40</v>
      </c>
      <c r="B41" s="20" t="s">
        <v>68</v>
      </c>
      <c r="C41" s="51" t="s">
        <v>1382</v>
      </c>
      <c r="D41" s="60" t="s">
        <v>1369</v>
      </c>
      <c r="E41" s="29" t="s">
        <v>416</v>
      </c>
      <c r="F41" s="29" t="s">
        <v>111</v>
      </c>
      <c r="G41" s="19" t="s">
        <v>8</v>
      </c>
      <c r="H41" s="19" t="s">
        <v>14</v>
      </c>
      <c r="I41" s="29" t="s">
        <v>111</v>
      </c>
      <c r="J41" s="29" t="s">
        <v>937</v>
      </c>
      <c r="K41" s="20" t="s">
        <v>1115</v>
      </c>
      <c r="L41" s="23">
        <v>490946</v>
      </c>
      <c r="M41" s="23">
        <v>719712</v>
      </c>
      <c r="N41" s="23"/>
      <c r="O41" s="21"/>
      <c r="P41" s="21"/>
      <c r="Q41" s="19"/>
      <c r="R41" s="19"/>
      <c r="S41" s="21"/>
      <c r="T41" s="21"/>
      <c r="U41" s="21"/>
      <c r="V41" s="21"/>
      <c r="W41" s="21"/>
      <c r="X41" s="21"/>
      <c r="Y41" s="21"/>
      <c r="Z41" s="30"/>
      <c r="AA41" s="30"/>
    </row>
    <row r="42" spans="1:27" s="14" customFormat="1" ht="37.5" x14ac:dyDescent="0.3">
      <c r="A42" s="7">
        <v>41</v>
      </c>
      <c r="B42" s="20" t="s">
        <v>68</v>
      </c>
      <c r="C42" s="51" t="s">
        <v>1410</v>
      </c>
      <c r="D42" s="60" t="s">
        <v>1369</v>
      </c>
      <c r="E42" s="29" t="s">
        <v>416</v>
      </c>
      <c r="F42" s="19" t="s">
        <v>112</v>
      </c>
      <c r="G42" s="19" t="s">
        <v>8</v>
      </c>
      <c r="H42" s="19" t="s">
        <v>14</v>
      </c>
      <c r="I42" s="19" t="s">
        <v>112</v>
      </c>
      <c r="J42" s="19" t="s">
        <v>938</v>
      </c>
      <c r="K42" s="20" t="s">
        <v>1116</v>
      </c>
      <c r="L42" s="23">
        <v>986796</v>
      </c>
      <c r="M42" s="23">
        <v>1272564</v>
      </c>
      <c r="N42" s="23"/>
      <c r="O42" s="21"/>
      <c r="P42" s="21"/>
      <c r="Q42" s="19"/>
      <c r="R42" s="19"/>
      <c r="S42" s="21"/>
      <c r="T42" s="21"/>
      <c r="U42" s="21"/>
      <c r="V42" s="21"/>
      <c r="W42" s="21"/>
      <c r="X42" s="21"/>
      <c r="Y42" s="21"/>
      <c r="Z42" s="30"/>
      <c r="AA42" s="31"/>
    </row>
    <row r="43" spans="1:27" s="14" customFormat="1" ht="37.5" x14ac:dyDescent="0.3">
      <c r="A43" s="7">
        <v>42</v>
      </c>
      <c r="B43" s="20" t="s">
        <v>68</v>
      </c>
      <c r="C43" s="51" t="s">
        <v>1378</v>
      </c>
      <c r="D43" s="51" t="s">
        <v>1369</v>
      </c>
      <c r="E43" s="29" t="s">
        <v>416</v>
      </c>
      <c r="F43" s="19" t="s">
        <v>113</v>
      </c>
      <c r="G43" s="19" t="s">
        <v>8</v>
      </c>
      <c r="H43" s="19" t="s">
        <v>14</v>
      </c>
      <c r="I43" s="19" t="s">
        <v>113</v>
      </c>
      <c r="J43" s="19" t="s">
        <v>939</v>
      </c>
      <c r="K43" s="20" t="s">
        <v>1117</v>
      </c>
      <c r="L43" s="23">
        <v>704290</v>
      </c>
      <c r="M43" s="23">
        <v>956189</v>
      </c>
      <c r="N43" s="23"/>
      <c r="O43" s="21"/>
      <c r="P43" s="21"/>
      <c r="Q43" s="19"/>
      <c r="R43" s="19"/>
      <c r="S43" s="21"/>
      <c r="T43" s="21"/>
      <c r="U43" s="21"/>
      <c r="V43" s="21"/>
      <c r="W43" s="21"/>
      <c r="X43" s="21"/>
      <c r="Y43" s="21"/>
      <c r="Z43" s="30"/>
      <c r="AA43" s="31"/>
    </row>
    <row r="44" spans="1:27" s="14" customFormat="1" ht="37.5" x14ac:dyDescent="0.3">
      <c r="A44" s="7">
        <v>43</v>
      </c>
      <c r="B44" s="20" t="s">
        <v>68</v>
      </c>
      <c r="C44" s="51" t="s">
        <v>1396</v>
      </c>
      <c r="D44" s="51" t="s">
        <v>1369</v>
      </c>
      <c r="E44" s="29" t="s">
        <v>416</v>
      </c>
      <c r="F44" s="19" t="s">
        <v>115</v>
      </c>
      <c r="G44" s="19" t="s">
        <v>8</v>
      </c>
      <c r="H44" s="19" t="s">
        <v>14</v>
      </c>
      <c r="I44" s="19" t="s">
        <v>115</v>
      </c>
      <c r="J44" s="19" t="s">
        <v>941</v>
      </c>
      <c r="K44" s="20" t="s">
        <v>1119</v>
      </c>
      <c r="L44" s="23">
        <v>1146398</v>
      </c>
      <c r="M44" s="23">
        <v>1459987</v>
      </c>
      <c r="N44" s="23"/>
      <c r="O44" s="21"/>
      <c r="P44" s="21"/>
      <c r="Q44" s="19"/>
      <c r="R44" s="19"/>
      <c r="S44" s="21"/>
      <c r="T44" s="21"/>
      <c r="U44" s="21"/>
      <c r="V44" s="21"/>
      <c r="W44" s="21"/>
      <c r="X44" s="21"/>
      <c r="Y44" s="21"/>
      <c r="Z44" s="30"/>
      <c r="AA44" s="31"/>
    </row>
    <row r="45" spans="1:27" s="3" customFormat="1" ht="37.5" x14ac:dyDescent="0.3">
      <c r="A45" s="7">
        <v>44</v>
      </c>
      <c r="B45" s="20" t="s">
        <v>68</v>
      </c>
      <c r="C45" s="51" t="s">
        <v>699</v>
      </c>
      <c r="D45" s="51" t="e">
        <f>VLOOKUP(I45,#REF!,14,0)</f>
        <v>#REF!</v>
      </c>
      <c r="E45" s="29" t="s">
        <v>416</v>
      </c>
      <c r="F45" s="19" t="s">
        <v>116</v>
      </c>
      <c r="G45" s="19" t="s">
        <v>8</v>
      </c>
      <c r="H45" s="19" t="s">
        <v>14</v>
      </c>
      <c r="I45" s="19" t="s">
        <v>116</v>
      </c>
      <c r="J45" s="19" t="s">
        <v>942</v>
      </c>
      <c r="K45" s="20" t="s">
        <v>1120</v>
      </c>
      <c r="L45" s="23">
        <v>992174</v>
      </c>
      <c r="M45" s="23">
        <v>1316045</v>
      </c>
      <c r="N45" s="23"/>
      <c r="O45" s="21"/>
      <c r="P45" s="21"/>
      <c r="Q45" s="19"/>
      <c r="R45" s="19"/>
      <c r="S45" s="21"/>
      <c r="T45" s="21"/>
      <c r="U45" s="21"/>
      <c r="V45" s="21"/>
      <c r="W45" s="21"/>
      <c r="X45" s="21"/>
      <c r="Y45" s="21"/>
      <c r="Z45" s="19"/>
      <c r="AA45" s="22"/>
    </row>
    <row r="46" spans="1:27" s="14" customFormat="1" ht="37.5" x14ac:dyDescent="0.3">
      <c r="A46" s="7">
        <v>45</v>
      </c>
      <c r="B46" s="20" t="s">
        <v>68</v>
      </c>
      <c r="C46" s="51" t="s">
        <v>1402</v>
      </c>
      <c r="D46" s="51" t="s">
        <v>1369</v>
      </c>
      <c r="E46" s="29" t="s">
        <v>416</v>
      </c>
      <c r="F46" s="19" t="s">
        <v>114</v>
      </c>
      <c r="G46" s="19" t="s">
        <v>8</v>
      </c>
      <c r="H46" s="19" t="s">
        <v>14</v>
      </c>
      <c r="I46" s="19" t="s">
        <v>114</v>
      </c>
      <c r="J46" s="19" t="s">
        <v>940</v>
      </c>
      <c r="K46" s="20" t="s">
        <v>1118</v>
      </c>
      <c r="L46" s="23">
        <v>244188</v>
      </c>
      <c r="M46" s="23">
        <v>462672</v>
      </c>
      <c r="N46" s="23"/>
      <c r="O46" s="21"/>
      <c r="P46" s="21"/>
      <c r="Q46" s="19"/>
      <c r="R46" s="19"/>
      <c r="S46" s="21"/>
      <c r="T46" s="21"/>
      <c r="U46" s="21"/>
      <c r="V46" s="21"/>
      <c r="W46" s="21"/>
      <c r="X46" s="21"/>
      <c r="Y46" s="21"/>
      <c r="Z46" s="30"/>
      <c r="AA46" s="31"/>
    </row>
    <row r="47" spans="1:27" s="3" customFormat="1" ht="37.5" x14ac:dyDescent="0.3">
      <c r="A47" s="7">
        <v>46</v>
      </c>
      <c r="B47" s="20" t="s">
        <v>68</v>
      </c>
      <c r="C47" s="51" t="s">
        <v>1391</v>
      </c>
      <c r="D47" s="51" t="s">
        <v>1369</v>
      </c>
      <c r="E47" s="29" t="s">
        <v>416</v>
      </c>
      <c r="F47" s="19" t="s">
        <v>117</v>
      </c>
      <c r="G47" s="19" t="s">
        <v>8</v>
      </c>
      <c r="H47" s="19" t="s">
        <v>14</v>
      </c>
      <c r="I47" s="19" t="s">
        <v>117</v>
      </c>
      <c r="J47" s="19" t="s">
        <v>792</v>
      </c>
      <c r="K47" s="20" t="s">
        <v>1121</v>
      </c>
      <c r="L47" s="23">
        <v>424116</v>
      </c>
      <c r="M47" s="23">
        <v>496087</v>
      </c>
      <c r="N47" s="23"/>
      <c r="O47" s="21"/>
      <c r="P47" s="21"/>
      <c r="Q47" s="19"/>
      <c r="R47" s="19"/>
      <c r="S47" s="21"/>
      <c r="T47" s="21"/>
      <c r="U47" s="21"/>
      <c r="V47" s="21"/>
      <c r="W47" s="21"/>
      <c r="X47" s="21"/>
      <c r="Y47" s="21"/>
      <c r="Z47" s="19"/>
      <c r="AA47" s="22"/>
    </row>
    <row r="48" spans="1:27" s="3" customFormat="1" ht="37.5" x14ac:dyDescent="0.3">
      <c r="A48" s="7">
        <v>47</v>
      </c>
      <c r="B48" s="20" t="s">
        <v>68</v>
      </c>
      <c r="C48" s="51" t="s">
        <v>1383</v>
      </c>
      <c r="D48" s="51" t="s">
        <v>1369</v>
      </c>
      <c r="E48" s="29" t="s">
        <v>416</v>
      </c>
      <c r="F48" s="19" t="s">
        <v>118</v>
      </c>
      <c r="G48" s="19" t="s">
        <v>8</v>
      </c>
      <c r="H48" s="19" t="s">
        <v>14</v>
      </c>
      <c r="I48" s="19" t="s">
        <v>118</v>
      </c>
      <c r="J48" s="19" t="s">
        <v>793</v>
      </c>
      <c r="K48" s="20" t="s">
        <v>1122</v>
      </c>
      <c r="L48" s="23">
        <v>724853</v>
      </c>
      <c r="M48" s="23">
        <v>753127</v>
      </c>
      <c r="N48" s="23"/>
      <c r="O48" s="21"/>
      <c r="P48" s="21"/>
      <c r="Q48" s="19"/>
      <c r="R48" s="19"/>
      <c r="S48" s="21"/>
      <c r="T48" s="21"/>
      <c r="U48" s="21"/>
      <c r="V48" s="21"/>
      <c r="W48" s="21"/>
      <c r="X48" s="21"/>
      <c r="Y48" s="21"/>
      <c r="Z48" s="19"/>
      <c r="AA48" s="22"/>
    </row>
    <row r="49" spans="1:27" s="3" customFormat="1" ht="37.5" x14ac:dyDescent="0.3">
      <c r="A49" s="7">
        <v>48</v>
      </c>
      <c r="B49" s="20" t="s">
        <v>68</v>
      </c>
      <c r="C49" s="51" t="s">
        <v>1389</v>
      </c>
      <c r="D49" s="51" t="s">
        <v>1369</v>
      </c>
      <c r="E49" s="29" t="s">
        <v>416</v>
      </c>
      <c r="F49" s="19" t="s">
        <v>119</v>
      </c>
      <c r="G49" s="19" t="s">
        <v>8</v>
      </c>
      <c r="H49" s="19" t="s">
        <v>14</v>
      </c>
      <c r="I49" s="19" t="s">
        <v>119</v>
      </c>
      <c r="J49" s="19" t="s">
        <v>757</v>
      </c>
      <c r="K49" s="20" t="s">
        <v>1123</v>
      </c>
      <c r="L49" s="23">
        <v>804535</v>
      </c>
      <c r="M49" s="23">
        <v>994745</v>
      </c>
      <c r="N49" s="23"/>
      <c r="O49" s="21"/>
      <c r="P49" s="21"/>
      <c r="Q49" s="19"/>
      <c r="R49" s="19"/>
      <c r="S49" s="21"/>
      <c r="T49" s="21"/>
      <c r="U49" s="21"/>
      <c r="V49" s="21"/>
      <c r="W49" s="21"/>
      <c r="X49" s="21"/>
      <c r="Y49" s="21"/>
      <c r="Z49" s="19"/>
      <c r="AA49" s="22"/>
    </row>
    <row r="50" spans="1:27" s="3" customFormat="1" ht="37.5" x14ac:dyDescent="0.3">
      <c r="A50" s="7">
        <v>49</v>
      </c>
      <c r="B50" s="20" t="s">
        <v>68</v>
      </c>
      <c r="C50" s="51" t="s">
        <v>1372</v>
      </c>
      <c r="D50" s="51" t="s">
        <v>1369</v>
      </c>
      <c r="E50" s="29" t="s">
        <v>416</v>
      </c>
      <c r="F50" s="19" t="s">
        <v>1371</v>
      </c>
      <c r="G50" s="19" t="s">
        <v>8</v>
      </c>
      <c r="H50" s="19" t="s">
        <v>14</v>
      </c>
      <c r="I50" s="19" t="s">
        <v>120</v>
      </c>
      <c r="J50" s="19" t="s">
        <v>762</v>
      </c>
      <c r="K50" s="20" t="s">
        <v>1124</v>
      </c>
      <c r="L50" s="23">
        <v>449820</v>
      </c>
      <c r="M50" s="23">
        <v>501228</v>
      </c>
      <c r="N50" s="23"/>
      <c r="O50" s="21"/>
      <c r="P50" s="21"/>
      <c r="Q50" s="19"/>
      <c r="R50" s="19"/>
      <c r="S50" s="21"/>
      <c r="T50" s="21"/>
      <c r="U50" s="21"/>
      <c r="V50" s="21"/>
      <c r="W50" s="21"/>
      <c r="X50" s="21"/>
      <c r="Y50" s="21"/>
      <c r="Z50" s="19"/>
      <c r="AA50" s="22"/>
    </row>
    <row r="51" spans="1:27" s="3" customFormat="1" ht="37.5" x14ac:dyDescent="0.3">
      <c r="A51" s="7">
        <v>50</v>
      </c>
      <c r="B51" s="20" t="s">
        <v>68</v>
      </c>
      <c r="C51" s="51" t="s">
        <v>1387</v>
      </c>
      <c r="D51" s="51" t="s">
        <v>1369</v>
      </c>
      <c r="E51" s="29" t="s">
        <v>416</v>
      </c>
      <c r="F51" s="19" t="s">
        <v>121</v>
      </c>
      <c r="G51" s="19" t="s">
        <v>8</v>
      </c>
      <c r="H51" s="19" t="s">
        <v>14</v>
      </c>
      <c r="I51" s="19" t="s">
        <v>121</v>
      </c>
      <c r="J51" s="19" t="s">
        <v>767</v>
      </c>
      <c r="K51" s="20" t="s">
        <v>1125</v>
      </c>
      <c r="L51" s="23">
        <v>1282630</v>
      </c>
      <c r="M51" s="23">
        <v>1567944</v>
      </c>
      <c r="N51" s="23"/>
      <c r="O51" s="21"/>
      <c r="P51" s="21"/>
      <c r="Q51" s="19"/>
      <c r="R51" s="19"/>
      <c r="S51" s="21"/>
      <c r="T51" s="21"/>
      <c r="U51" s="21"/>
      <c r="V51" s="21"/>
      <c r="W51" s="21"/>
      <c r="X51" s="21"/>
      <c r="Y51" s="21"/>
      <c r="Z51" s="19"/>
      <c r="AA51" s="22"/>
    </row>
    <row r="52" spans="1:27" s="3" customFormat="1" ht="37.5" x14ac:dyDescent="0.3">
      <c r="A52" s="7">
        <v>51</v>
      </c>
      <c r="B52" s="20" t="s">
        <v>68</v>
      </c>
      <c r="C52" s="51" t="s">
        <v>1392</v>
      </c>
      <c r="D52" s="51" t="s">
        <v>1369</v>
      </c>
      <c r="E52" s="29" t="s">
        <v>416</v>
      </c>
      <c r="F52" s="19" t="s">
        <v>122</v>
      </c>
      <c r="G52" s="19" t="s">
        <v>8</v>
      </c>
      <c r="H52" s="19" t="s">
        <v>14</v>
      </c>
      <c r="I52" s="19" t="s">
        <v>122</v>
      </c>
      <c r="J52" s="19" t="s">
        <v>772</v>
      </c>
      <c r="K52" s="20" t="s">
        <v>1126</v>
      </c>
      <c r="L52" s="23">
        <v>783972</v>
      </c>
      <c r="M52" s="23">
        <v>845662</v>
      </c>
      <c r="N52" s="23"/>
      <c r="O52" s="21"/>
      <c r="P52" s="21"/>
      <c r="Q52" s="19"/>
      <c r="R52" s="19"/>
      <c r="S52" s="21"/>
      <c r="T52" s="21"/>
      <c r="U52" s="21"/>
      <c r="V52" s="21"/>
      <c r="W52" s="21"/>
      <c r="X52" s="21"/>
      <c r="Y52" s="21"/>
      <c r="Z52" s="19"/>
      <c r="AA52" s="22"/>
    </row>
    <row r="53" spans="1:27" s="3" customFormat="1" ht="37.5" x14ac:dyDescent="0.3">
      <c r="A53" s="7">
        <v>52</v>
      </c>
      <c r="B53" s="20" t="s">
        <v>68</v>
      </c>
      <c r="C53" s="51" t="s">
        <v>1407</v>
      </c>
      <c r="D53" s="51" t="s">
        <v>1369</v>
      </c>
      <c r="E53" s="29" t="s">
        <v>416</v>
      </c>
      <c r="F53" s="19" t="s">
        <v>123</v>
      </c>
      <c r="G53" s="19" t="s">
        <v>8</v>
      </c>
      <c r="H53" s="19" t="s">
        <v>14</v>
      </c>
      <c r="I53" s="19" t="s">
        <v>123</v>
      </c>
      <c r="J53" s="19" t="s">
        <v>687</v>
      </c>
      <c r="K53" s="20" t="s">
        <v>1127</v>
      </c>
      <c r="L53" s="23">
        <v>670874</v>
      </c>
      <c r="M53" s="23">
        <v>665734</v>
      </c>
      <c r="N53" s="23"/>
      <c r="O53" s="21"/>
      <c r="P53" s="21"/>
      <c r="Q53" s="19"/>
      <c r="R53" s="19"/>
      <c r="S53" s="21"/>
      <c r="T53" s="21"/>
      <c r="U53" s="21"/>
      <c r="V53" s="21"/>
      <c r="W53" s="21"/>
      <c r="X53" s="21"/>
      <c r="Y53" s="21"/>
      <c r="Z53" s="19"/>
      <c r="AA53" s="22"/>
    </row>
    <row r="54" spans="1:27" s="3" customFormat="1" ht="37.5" x14ac:dyDescent="0.3">
      <c r="A54" s="7">
        <v>53</v>
      </c>
      <c r="B54" s="20" t="s">
        <v>68</v>
      </c>
      <c r="C54" s="51" t="s">
        <v>1399</v>
      </c>
      <c r="D54" s="51" t="s">
        <v>1369</v>
      </c>
      <c r="E54" s="29" t="s">
        <v>416</v>
      </c>
      <c r="F54" s="19" t="s">
        <v>124</v>
      </c>
      <c r="G54" s="19" t="s">
        <v>8</v>
      </c>
      <c r="H54" s="19" t="s">
        <v>14</v>
      </c>
      <c r="I54" s="19" t="s">
        <v>124</v>
      </c>
      <c r="J54" s="19" t="s">
        <v>780</v>
      </c>
      <c r="K54" s="20" t="s">
        <v>1128</v>
      </c>
      <c r="L54" s="23">
        <v>1236362</v>
      </c>
      <c r="M54" s="23">
        <v>1172102</v>
      </c>
      <c r="N54" s="23"/>
      <c r="O54" s="21"/>
      <c r="P54" s="21"/>
      <c r="Q54" s="19"/>
      <c r="R54" s="19"/>
      <c r="S54" s="21"/>
      <c r="T54" s="21"/>
      <c r="U54" s="21"/>
      <c r="V54" s="21"/>
      <c r="W54" s="21"/>
      <c r="X54" s="21"/>
      <c r="Y54" s="21"/>
      <c r="Z54" s="19"/>
      <c r="AA54" s="22"/>
    </row>
    <row r="55" spans="1:27" s="3" customFormat="1" ht="37.5" x14ac:dyDescent="0.3">
      <c r="A55" s="7">
        <v>54</v>
      </c>
      <c r="B55" s="20" t="s">
        <v>68</v>
      </c>
      <c r="C55" s="51" t="s">
        <v>1394</v>
      </c>
      <c r="D55" s="51" t="s">
        <v>1369</v>
      </c>
      <c r="E55" s="29" t="s">
        <v>416</v>
      </c>
      <c r="F55" s="19" t="s">
        <v>125</v>
      </c>
      <c r="G55" s="19" t="s">
        <v>8</v>
      </c>
      <c r="H55" s="19" t="s">
        <v>14</v>
      </c>
      <c r="I55" s="19" t="s">
        <v>125</v>
      </c>
      <c r="J55" s="19" t="s">
        <v>784</v>
      </c>
      <c r="K55" s="20" t="s">
        <v>1129</v>
      </c>
      <c r="L55" s="23">
        <v>691438</v>
      </c>
      <c r="M55" s="23">
        <v>1105272</v>
      </c>
      <c r="N55" s="23"/>
      <c r="O55" s="21"/>
      <c r="P55" s="21"/>
      <c r="Q55" s="19"/>
      <c r="R55" s="19"/>
      <c r="S55" s="21"/>
      <c r="T55" s="21"/>
      <c r="U55" s="21"/>
      <c r="V55" s="21"/>
      <c r="W55" s="21"/>
      <c r="X55" s="21"/>
      <c r="Y55" s="21"/>
      <c r="Z55" s="19"/>
      <c r="AA55" s="22"/>
    </row>
    <row r="56" spans="1:27" s="3" customFormat="1" ht="37.5" x14ac:dyDescent="0.3">
      <c r="A56" s="7">
        <v>55</v>
      </c>
      <c r="B56" s="20" t="s">
        <v>68</v>
      </c>
      <c r="C56" s="51" t="s">
        <v>1404</v>
      </c>
      <c r="D56" s="51" t="s">
        <v>1369</v>
      </c>
      <c r="E56" s="29" t="s">
        <v>416</v>
      </c>
      <c r="F56" s="19" t="s">
        <v>126</v>
      </c>
      <c r="G56" s="19" t="s">
        <v>8</v>
      </c>
      <c r="H56" s="19" t="s">
        <v>14</v>
      </c>
      <c r="I56" s="19" t="s">
        <v>126</v>
      </c>
      <c r="J56" s="19" t="s">
        <v>788</v>
      </c>
      <c r="K56" s="20" t="s">
        <v>1130</v>
      </c>
      <c r="L56" s="23">
        <v>550066</v>
      </c>
      <c r="M56" s="23">
        <v>1223510</v>
      </c>
      <c r="N56" s="23"/>
      <c r="O56" s="21"/>
      <c r="P56" s="21"/>
      <c r="Q56" s="19"/>
      <c r="R56" s="19"/>
      <c r="S56" s="21"/>
      <c r="T56" s="21"/>
      <c r="U56" s="21"/>
      <c r="V56" s="21"/>
      <c r="W56" s="21"/>
      <c r="X56" s="21"/>
      <c r="Y56" s="21"/>
      <c r="Z56" s="19"/>
      <c r="AA56" s="22"/>
    </row>
    <row r="57" spans="1:27" s="3" customFormat="1" ht="37.5" x14ac:dyDescent="0.3">
      <c r="A57" s="7">
        <v>56</v>
      </c>
      <c r="B57" s="20" t="s">
        <v>68</v>
      </c>
      <c r="C57" s="51" t="s">
        <v>1379</v>
      </c>
      <c r="D57" s="51" t="s">
        <v>1369</v>
      </c>
      <c r="E57" s="29" t="s">
        <v>416</v>
      </c>
      <c r="F57" s="19" t="s">
        <v>127</v>
      </c>
      <c r="G57" s="19" t="s">
        <v>8</v>
      </c>
      <c r="H57" s="19" t="s">
        <v>14</v>
      </c>
      <c r="I57" s="19" t="s">
        <v>127</v>
      </c>
      <c r="J57" s="19" t="s">
        <v>794</v>
      </c>
      <c r="K57" s="20" t="s">
        <v>1131</v>
      </c>
      <c r="L57" s="23">
        <v>472954</v>
      </c>
      <c r="M57" s="23">
        <v>442109</v>
      </c>
      <c r="N57" s="23"/>
      <c r="O57" s="21"/>
      <c r="P57" s="21"/>
      <c r="Q57" s="19"/>
      <c r="R57" s="19"/>
      <c r="S57" s="21"/>
      <c r="T57" s="21"/>
      <c r="U57" s="21"/>
      <c r="V57" s="21"/>
      <c r="W57" s="21"/>
      <c r="X57" s="21"/>
      <c r="Y57" s="21"/>
      <c r="Z57" s="19"/>
      <c r="AA57" s="22"/>
    </row>
    <row r="58" spans="1:27" s="3" customFormat="1" ht="37.5" x14ac:dyDescent="0.3">
      <c r="A58" s="7">
        <v>57</v>
      </c>
      <c r="B58" s="20" t="s">
        <v>68</v>
      </c>
      <c r="C58" s="51" t="s">
        <v>1406</v>
      </c>
      <c r="D58" s="51" t="s">
        <v>1369</v>
      </c>
      <c r="E58" s="29" t="s">
        <v>416</v>
      </c>
      <c r="F58" s="19" t="s">
        <v>128</v>
      </c>
      <c r="G58" s="19" t="s">
        <v>8</v>
      </c>
      <c r="H58" s="19" t="s">
        <v>14</v>
      </c>
      <c r="I58" s="19" t="s">
        <v>128</v>
      </c>
      <c r="J58" s="19" t="s">
        <v>795</v>
      </c>
      <c r="K58" s="20" t="s">
        <v>1132</v>
      </c>
      <c r="L58" s="23">
        <v>431827</v>
      </c>
      <c r="M58" s="23">
        <v>596333</v>
      </c>
      <c r="N58" s="23"/>
      <c r="O58" s="21"/>
      <c r="P58" s="21"/>
      <c r="Q58" s="19"/>
      <c r="R58" s="19"/>
      <c r="S58" s="21"/>
      <c r="T58" s="21"/>
      <c r="U58" s="21"/>
      <c r="V58" s="21"/>
      <c r="W58" s="21"/>
      <c r="X58" s="21"/>
      <c r="Y58" s="21"/>
      <c r="Z58" s="19"/>
      <c r="AA58" s="22"/>
    </row>
    <row r="59" spans="1:27" s="3" customFormat="1" ht="37.5" x14ac:dyDescent="0.3">
      <c r="A59" s="7">
        <v>58</v>
      </c>
      <c r="B59" s="20" t="s">
        <v>68</v>
      </c>
      <c r="C59" s="51" t="s">
        <v>1412</v>
      </c>
      <c r="D59" s="51" t="s">
        <v>1369</v>
      </c>
      <c r="E59" s="29" t="s">
        <v>416</v>
      </c>
      <c r="F59" s="19" t="s">
        <v>129</v>
      </c>
      <c r="G59" s="19" t="s">
        <v>8</v>
      </c>
      <c r="H59" s="19" t="s">
        <v>14</v>
      </c>
      <c r="I59" s="19" t="s">
        <v>129</v>
      </c>
      <c r="J59" s="19" t="s">
        <v>758</v>
      </c>
      <c r="K59" s="20" t="s">
        <v>1133</v>
      </c>
      <c r="L59" s="23">
        <v>1305763</v>
      </c>
      <c r="M59" s="23">
        <v>1146398</v>
      </c>
      <c r="N59" s="23"/>
      <c r="O59" s="21"/>
      <c r="P59" s="21"/>
      <c r="Q59" s="19"/>
      <c r="R59" s="19"/>
      <c r="S59" s="21"/>
      <c r="T59" s="21"/>
      <c r="U59" s="21"/>
      <c r="V59" s="21"/>
      <c r="W59" s="21"/>
      <c r="X59" s="21"/>
      <c r="Y59" s="21"/>
      <c r="Z59" s="19"/>
      <c r="AA59" s="22"/>
    </row>
    <row r="60" spans="1:27" s="3" customFormat="1" ht="37.5" x14ac:dyDescent="0.3">
      <c r="A60" s="7">
        <v>59</v>
      </c>
      <c r="B60" s="20" t="s">
        <v>68</v>
      </c>
      <c r="C60" s="51" t="s">
        <v>1413</v>
      </c>
      <c r="D60" s="51" t="s">
        <v>1369</v>
      </c>
      <c r="E60" s="29" t="s">
        <v>416</v>
      </c>
      <c r="F60" s="19" t="s">
        <v>130</v>
      </c>
      <c r="G60" s="19" t="s">
        <v>8</v>
      </c>
      <c r="H60" s="19" t="s">
        <v>14</v>
      </c>
      <c r="I60" s="19" t="s">
        <v>130</v>
      </c>
      <c r="J60" s="19" t="s">
        <v>763</v>
      </c>
      <c r="K60" s="20" t="s">
        <v>1134</v>
      </c>
      <c r="L60" s="23">
        <v>408694</v>
      </c>
      <c r="M60" s="23">
        <v>534643</v>
      </c>
      <c r="N60" s="23"/>
      <c r="O60" s="21"/>
      <c r="P60" s="21"/>
      <c r="Q60" s="19"/>
      <c r="R60" s="19"/>
      <c r="S60" s="21"/>
      <c r="T60" s="21"/>
      <c r="U60" s="21"/>
      <c r="V60" s="21"/>
      <c r="W60" s="21"/>
      <c r="X60" s="21"/>
      <c r="Y60" s="21"/>
      <c r="Z60" s="19"/>
      <c r="AA60" s="22"/>
    </row>
    <row r="61" spans="1:27" s="84" customFormat="1" ht="37.5" x14ac:dyDescent="0.25">
      <c r="A61" s="7">
        <v>60</v>
      </c>
      <c r="B61" s="75" t="s">
        <v>68</v>
      </c>
      <c r="C61" s="74"/>
      <c r="D61" s="74"/>
      <c r="E61" s="24" t="s">
        <v>135</v>
      </c>
      <c r="F61" s="74" t="s">
        <v>25</v>
      </c>
      <c r="G61" s="74" t="s">
        <v>8</v>
      </c>
      <c r="H61" s="74" t="s">
        <v>32</v>
      </c>
      <c r="I61" s="74" t="s">
        <v>25</v>
      </c>
      <c r="J61" s="74"/>
      <c r="K61" s="75" t="s">
        <v>1447</v>
      </c>
      <c r="L61" s="69">
        <v>2829602</v>
      </c>
      <c r="M61" s="69">
        <v>6967024</v>
      </c>
      <c r="N61" s="69">
        <v>15876544</v>
      </c>
      <c r="O61" s="17">
        <v>11145315</v>
      </c>
      <c r="P61" s="17">
        <v>3096455</v>
      </c>
      <c r="Q61" s="7">
        <v>3012312</v>
      </c>
      <c r="R61" s="7">
        <v>3113284</v>
      </c>
      <c r="S61" s="69">
        <v>3158961</v>
      </c>
      <c r="T61" s="69">
        <v>3125304</v>
      </c>
      <c r="U61" s="69">
        <v>3247122</v>
      </c>
      <c r="V61" s="69">
        <v>4626837</v>
      </c>
      <c r="W61" s="69">
        <v>4780529</v>
      </c>
      <c r="X61" s="69">
        <v>3693211</v>
      </c>
      <c r="Y61" s="69">
        <v>5021391</v>
      </c>
      <c r="Z61" s="74">
        <v>16062289</v>
      </c>
      <c r="AA61" s="79"/>
    </row>
    <row r="62" spans="1:27" s="80" customFormat="1" ht="37.5" x14ac:dyDescent="0.3">
      <c r="A62" s="7">
        <v>61</v>
      </c>
      <c r="B62" s="75" t="s">
        <v>418</v>
      </c>
      <c r="C62" s="74" t="s">
        <v>57</v>
      </c>
      <c r="D62" s="74"/>
      <c r="E62" s="24" t="s">
        <v>135</v>
      </c>
      <c r="F62" s="74" t="s">
        <v>24</v>
      </c>
      <c r="G62" s="74" t="s">
        <v>8</v>
      </c>
      <c r="H62" s="74" t="s">
        <v>32</v>
      </c>
      <c r="I62" s="74" t="s">
        <v>24</v>
      </c>
      <c r="J62" s="74"/>
      <c r="K62" s="75" t="s">
        <v>1446</v>
      </c>
      <c r="L62" s="69">
        <v>2331958</v>
      </c>
      <c r="M62" s="69">
        <v>3029141</v>
      </c>
      <c r="N62" s="69">
        <v>3449855</v>
      </c>
      <c r="O62" s="17">
        <v>3146941</v>
      </c>
      <c r="P62" s="17">
        <v>1930476</v>
      </c>
      <c r="Q62" s="7">
        <v>1428024</v>
      </c>
      <c r="R62" s="7">
        <v>1759787</v>
      </c>
      <c r="S62" s="17">
        <v>1964133</v>
      </c>
      <c r="T62" s="17">
        <v>2026639</v>
      </c>
      <c r="U62" s="17">
        <v>2069991</v>
      </c>
      <c r="V62" s="17">
        <v>2073704</v>
      </c>
      <c r="W62" s="17">
        <v>2862812</v>
      </c>
      <c r="X62" s="17">
        <v>2605893</v>
      </c>
      <c r="Y62" s="17">
        <v>1929187</v>
      </c>
      <c r="Z62" s="74">
        <v>13139357</v>
      </c>
      <c r="AA62" s="79"/>
    </row>
    <row r="63" spans="1:27" s="80" customFormat="1" ht="37.5" x14ac:dyDescent="0.3">
      <c r="A63" s="7">
        <v>62</v>
      </c>
      <c r="B63" s="75" t="s">
        <v>68</v>
      </c>
      <c r="C63" s="74" t="s">
        <v>54</v>
      </c>
      <c r="D63" s="74"/>
      <c r="E63" s="24" t="s">
        <v>135</v>
      </c>
      <c r="F63" s="74" t="s">
        <v>28</v>
      </c>
      <c r="G63" s="74" t="s">
        <v>8</v>
      </c>
      <c r="H63" s="74" t="s">
        <v>16</v>
      </c>
      <c r="I63" s="74" t="s">
        <v>28</v>
      </c>
      <c r="J63" s="74"/>
      <c r="K63" s="75" t="s">
        <v>1428</v>
      </c>
      <c r="L63" s="69">
        <v>401481</v>
      </c>
      <c r="M63" s="69">
        <v>490432</v>
      </c>
      <c r="N63" s="69">
        <v>463987</v>
      </c>
      <c r="O63" s="17">
        <v>329359</v>
      </c>
      <c r="P63" s="17">
        <v>485624</v>
      </c>
      <c r="Q63" s="7">
        <v>682759</v>
      </c>
      <c r="R63" s="7">
        <v>867873</v>
      </c>
      <c r="S63" s="17">
        <v>528898</v>
      </c>
      <c r="T63" s="17">
        <v>545726</v>
      </c>
      <c r="U63" s="17">
        <v>862728</v>
      </c>
      <c r="V63" s="17">
        <v>853338</v>
      </c>
      <c r="W63" s="17">
        <v>1085024</v>
      </c>
      <c r="X63" s="17">
        <v>575774</v>
      </c>
      <c r="Y63" s="17">
        <v>628534</v>
      </c>
      <c r="Z63" s="74">
        <v>11410013</v>
      </c>
      <c r="AA63" s="79"/>
    </row>
    <row r="64" spans="1:27" s="80" customFormat="1" ht="37.5" x14ac:dyDescent="0.3">
      <c r="A64" s="7">
        <v>63</v>
      </c>
      <c r="B64" s="75" t="s">
        <v>68</v>
      </c>
      <c r="C64" s="74" t="s">
        <v>55</v>
      </c>
      <c r="D64" s="74"/>
      <c r="E64" s="24" t="s">
        <v>135</v>
      </c>
      <c r="F64" s="74" t="s">
        <v>27</v>
      </c>
      <c r="G64" s="74" t="s">
        <v>8</v>
      </c>
      <c r="H64" s="74" t="s">
        <v>16</v>
      </c>
      <c r="I64" s="74" t="s">
        <v>27</v>
      </c>
      <c r="J64" s="74"/>
      <c r="K64" s="75" t="s">
        <v>1421</v>
      </c>
      <c r="L64" s="76"/>
      <c r="M64" s="76" t="s">
        <v>1417</v>
      </c>
      <c r="N64" s="76" t="s">
        <v>1417</v>
      </c>
      <c r="O64" s="17">
        <v>120358</v>
      </c>
      <c r="P64" s="17">
        <v>193223</v>
      </c>
      <c r="Q64" s="7">
        <v>351829</v>
      </c>
      <c r="R64" s="7">
        <v>1322233</v>
      </c>
      <c r="S64" s="17">
        <v>1454725</v>
      </c>
      <c r="T64" s="17">
        <v>788827</v>
      </c>
      <c r="U64" s="17">
        <v>2030559</v>
      </c>
      <c r="V64" s="17">
        <v>1660987</v>
      </c>
      <c r="W64" s="17">
        <v>1553478</v>
      </c>
      <c r="X64" s="17">
        <v>1041457</v>
      </c>
      <c r="Y64" s="17">
        <v>1387486</v>
      </c>
      <c r="Z64" s="74">
        <v>2210107932</v>
      </c>
      <c r="AA64" s="79"/>
    </row>
    <row r="65" spans="1:27" s="5" customFormat="1" ht="37.5" x14ac:dyDescent="0.25">
      <c r="A65" s="7">
        <v>64</v>
      </c>
      <c r="B65" s="20" t="s">
        <v>68</v>
      </c>
      <c r="C65" s="19" t="s">
        <v>56</v>
      </c>
      <c r="D65" s="19"/>
      <c r="E65" s="29" t="s">
        <v>416</v>
      </c>
      <c r="F65" s="19" t="s">
        <v>26</v>
      </c>
      <c r="G65" s="19" t="s">
        <v>8</v>
      </c>
      <c r="H65" s="19"/>
      <c r="I65" s="19" t="s">
        <v>26</v>
      </c>
      <c r="J65" s="19"/>
      <c r="K65" s="20" t="s">
        <v>61</v>
      </c>
      <c r="L65" s="23">
        <v>900282</v>
      </c>
      <c r="M65" s="23">
        <v>2535618</v>
      </c>
      <c r="N65" s="23"/>
      <c r="O65" s="21"/>
      <c r="P65" s="21"/>
      <c r="Q65" s="19"/>
      <c r="R65" s="19"/>
      <c r="S65" s="23"/>
      <c r="T65" s="23"/>
      <c r="U65" s="23"/>
      <c r="V65" s="23"/>
      <c r="W65" s="23"/>
      <c r="X65" s="23"/>
      <c r="Y65" s="23"/>
      <c r="Z65" s="19"/>
      <c r="AA65" s="22"/>
    </row>
    <row r="66" spans="1:27" s="80" customFormat="1" ht="37.5" x14ac:dyDescent="0.3">
      <c r="A66" s="7">
        <v>65</v>
      </c>
      <c r="B66" s="75" t="s">
        <v>419</v>
      </c>
      <c r="C66" s="74" t="s">
        <v>53</v>
      </c>
      <c r="D66" s="74"/>
      <c r="E66" s="24" t="s">
        <v>135</v>
      </c>
      <c r="F66" s="74" t="s">
        <v>29</v>
      </c>
      <c r="G66" s="74" t="s">
        <v>8</v>
      </c>
      <c r="H66" s="74" t="s">
        <v>32</v>
      </c>
      <c r="I66" s="74" t="s">
        <v>29</v>
      </c>
      <c r="J66" s="74"/>
      <c r="K66" s="75" t="s">
        <v>52</v>
      </c>
      <c r="L66" s="69">
        <v>1408791</v>
      </c>
      <c r="M66" s="69">
        <v>5075013</v>
      </c>
      <c r="N66" s="69">
        <v>4897111</v>
      </c>
      <c r="O66" s="17">
        <v>4916344</v>
      </c>
      <c r="P66" s="17">
        <v>4935576</v>
      </c>
      <c r="Q66" s="7">
        <v>1536207</v>
      </c>
      <c r="R66" s="7">
        <v>1264546</v>
      </c>
      <c r="S66" s="17">
        <v>1266950</v>
      </c>
      <c r="T66" s="17">
        <v>1218869</v>
      </c>
      <c r="U66" s="17">
        <v>1245929</v>
      </c>
      <c r="V66" s="17">
        <v>1190544</v>
      </c>
      <c r="W66" s="17">
        <v>1250186</v>
      </c>
      <c r="X66" s="17">
        <v>1128609</v>
      </c>
      <c r="Y66" s="17">
        <v>1222659</v>
      </c>
      <c r="Z66" s="74"/>
      <c r="AA66" s="79"/>
    </row>
    <row r="67" spans="1:27" s="80" customFormat="1" ht="37.5" x14ac:dyDescent="0.3">
      <c r="A67" s="7">
        <v>66</v>
      </c>
      <c r="B67" s="75" t="s">
        <v>420</v>
      </c>
      <c r="C67" s="74" t="s">
        <v>51</v>
      </c>
      <c r="D67" s="74"/>
      <c r="E67" s="24" t="s">
        <v>135</v>
      </c>
      <c r="F67" s="74" t="s">
        <v>30</v>
      </c>
      <c r="G67" s="74" t="s">
        <v>8</v>
      </c>
      <c r="H67" s="74" t="s">
        <v>32</v>
      </c>
      <c r="I67" s="74" t="s">
        <v>30</v>
      </c>
      <c r="J67" s="74"/>
      <c r="K67" s="75" t="s">
        <v>50</v>
      </c>
      <c r="L67" s="69">
        <v>4399466</v>
      </c>
      <c r="M67" s="69">
        <v>4853838</v>
      </c>
      <c r="N67" s="69">
        <v>4599005</v>
      </c>
      <c r="O67" s="17">
        <v>4291283</v>
      </c>
      <c r="P67" s="17">
        <v>3656606</v>
      </c>
      <c r="Q67" s="7">
        <v>4976446</v>
      </c>
      <c r="R67" s="7">
        <v>4853838</v>
      </c>
      <c r="S67" s="17">
        <v>4969233</v>
      </c>
      <c r="T67" s="17">
        <v>4449952</v>
      </c>
      <c r="U67" s="17">
        <v>4676823</v>
      </c>
      <c r="V67" s="17">
        <v>6702834</v>
      </c>
      <c r="W67" s="17">
        <v>5514584</v>
      </c>
      <c r="X67" s="78" t="s">
        <v>1417</v>
      </c>
      <c r="Y67" s="17">
        <v>5188847</v>
      </c>
      <c r="Z67" s="74"/>
      <c r="AA67" s="79"/>
    </row>
    <row r="68" spans="1:27" s="80" customFormat="1" ht="37.5" x14ac:dyDescent="0.3">
      <c r="A68" s="7">
        <v>67</v>
      </c>
      <c r="B68" s="75" t="s">
        <v>421</v>
      </c>
      <c r="C68" s="74" t="s">
        <v>49</v>
      </c>
      <c r="D68" s="74"/>
      <c r="E68" s="24" t="s">
        <v>135</v>
      </c>
      <c r="F68" s="74" t="s">
        <v>31</v>
      </c>
      <c r="G68" s="74" t="s">
        <v>8</v>
      </c>
      <c r="H68" s="74" t="s">
        <v>16</v>
      </c>
      <c r="I68" s="74" t="s">
        <v>31</v>
      </c>
      <c r="J68" s="74"/>
      <c r="K68" s="75" t="s">
        <v>1423</v>
      </c>
      <c r="L68" s="69">
        <v>3021929</v>
      </c>
      <c r="M68" s="69">
        <v>4235989</v>
      </c>
      <c r="N68" s="69">
        <v>1120301</v>
      </c>
      <c r="O68" s="17">
        <v>14424</v>
      </c>
      <c r="P68" s="17">
        <v>50486</v>
      </c>
      <c r="Q68" s="7">
        <v>26445</v>
      </c>
      <c r="R68" s="7">
        <v>103375</v>
      </c>
      <c r="S68" s="17">
        <v>38465</v>
      </c>
      <c r="T68" s="17">
        <v>221175</v>
      </c>
      <c r="U68" s="17">
        <v>1969680</v>
      </c>
      <c r="V68" s="17">
        <v>2832991</v>
      </c>
      <c r="W68" s="17">
        <v>5583401</v>
      </c>
      <c r="X68" s="17">
        <v>2954569</v>
      </c>
      <c r="Y68" s="17">
        <v>2259511</v>
      </c>
      <c r="Z68" s="74"/>
      <c r="AA68" s="79"/>
    </row>
    <row r="69" spans="1:27" s="80" customFormat="1" ht="37.5" x14ac:dyDescent="0.3">
      <c r="A69" s="7">
        <v>68</v>
      </c>
      <c r="B69" s="75" t="s">
        <v>422</v>
      </c>
      <c r="C69" s="74" t="s">
        <v>48</v>
      </c>
      <c r="D69" s="74"/>
      <c r="E69" s="24" t="s">
        <v>135</v>
      </c>
      <c r="F69" s="41" t="s">
        <v>32</v>
      </c>
      <c r="G69" s="74" t="s">
        <v>8</v>
      </c>
      <c r="H69" s="74" t="s">
        <v>32</v>
      </c>
      <c r="I69" s="41" t="s">
        <v>32</v>
      </c>
      <c r="J69" s="41"/>
      <c r="K69" s="85" t="s">
        <v>47</v>
      </c>
      <c r="L69" s="95">
        <v>2774308</v>
      </c>
      <c r="M69" s="95">
        <v>3351288</v>
      </c>
      <c r="N69" s="69">
        <v>3072414</v>
      </c>
      <c r="O69" s="17">
        <v>3036353</v>
      </c>
      <c r="P69" s="17">
        <v>2293492</v>
      </c>
      <c r="Q69" s="7">
        <v>1435236</v>
      </c>
      <c r="R69" s="7">
        <v>947208</v>
      </c>
      <c r="S69" s="17">
        <v>997693</v>
      </c>
      <c r="T69" s="17">
        <v>1298203</v>
      </c>
      <c r="U69" s="17">
        <v>1336072</v>
      </c>
      <c r="V69" s="17">
        <v>926744</v>
      </c>
      <c r="W69" s="17">
        <v>1543808</v>
      </c>
      <c r="X69" s="17">
        <v>1394703</v>
      </c>
      <c r="Y69" s="17">
        <v>169750</v>
      </c>
      <c r="Z69" s="74"/>
      <c r="AA69" s="79"/>
    </row>
    <row r="70" spans="1:27" s="80" customFormat="1" ht="37.5" x14ac:dyDescent="0.3">
      <c r="A70" s="7">
        <v>69</v>
      </c>
      <c r="B70" s="75" t="s">
        <v>423</v>
      </c>
      <c r="C70" s="74" t="s">
        <v>43</v>
      </c>
      <c r="D70" s="74"/>
      <c r="E70" s="24" t="s">
        <v>135</v>
      </c>
      <c r="F70" s="74" t="s">
        <v>33</v>
      </c>
      <c r="G70" s="74" t="s">
        <v>8</v>
      </c>
      <c r="H70" s="74" t="s">
        <v>32</v>
      </c>
      <c r="I70" s="74" t="s">
        <v>33</v>
      </c>
      <c r="J70" s="74"/>
      <c r="K70" s="75" t="s">
        <v>42</v>
      </c>
      <c r="L70" s="69">
        <v>497645</v>
      </c>
      <c r="M70" s="69">
        <v>543322</v>
      </c>
      <c r="N70" s="76" t="s">
        <v>1417</v>
      </c>
      <c r="O70" s="78" t="s">
        <v>1417</v>
      </c>
      <c r="P70" s="78" t="s">
        <v>1417</v>
      </c>
      <c r="Q70" s="74" t="s">
        <v>1417</v>
      </c>
      <c r="R70" s="74" t="s">
        <v>1417</v>
      </c>
      <c r="S70" s="78" t="s">
        <v>1417</v>
      </c>
      <c r="T70" s="78" t="s">
        <v>1417</v>
      </c>
      <c r="U70" s="78" t="s">
        <v>1417</v>
      </c>
      <c r="V70" s="17">
        <v>144517</v>
      </c>
      <c r="W70" s="17">
        <v>128460</v>
      </c>
      <c r="X70" s="17">
        <v>32115</v>
      </c>
      <c r="Y70" s="17">
        <v>169750</v>
      </c>
      <c r="Z70" s="74"/>
      <c r="AA70" s="79"/>
    </row>
    <row r="71" spans="1:27" s="80" customFormat="1" ht="37.5" x14ac:dyDescent="0.3">
      <c r="A71" s="7">
        <v>70</v>
      </c>
      <c r="B71" s="75" t="s">
        <v>424</v>
      </c>
      <c r="C71" s="74" t="s">
        <v>41</v>
      </c>
      <c r="D71" s="74"/>
      <c r="E71" s="24" t="s">
        <v>135</v>
      </c>
      <c r="F71" s="74" t="s">
        <v>34</v>
      </c>
      <c r="G71" s="74" t="s">
        <v>8</v>
      </c>
      <c r="H71" s="74" t="s">
        <v>16</v>
      </c>
      <c r="I71" s="74" t="s">
        <v>34</v>
      </c>
      <c r="J71" s="74"/>
      <c r="K71" s="75" t="s">
        <v>1424</v>
      </c>
      <c r="L71" s="69">
        <v>699587</v>
      </c>
      <c r="M71" s="69">
        <v>973652</v>
      </c>
      <c r="N71" s="69">
        <v>411098</v>
      </c>
      <c r="O71" s="17">
        <v>4808</v>
      </c>
      <c r="P71" s="17">
        <v>4808</v>
      </c>
      <c r="Q71" s="74" t="s">
        <v>1417</v>
      </c>
      <c r="R71" s="74" t="s">
        <v>1417</v>
      </c>
      <c r="S71" s="78" t="s">
        <v>1417</v>
      </c>
      <c r="T71" s="78" t="s">
        <v>1417</v>
      </c>
      <c r="U71" s="17">
        <v>301955</v>
      </c>
      <c r="V71" s="17">
        <v>598713</v>
      </c>
      <c r="W71" s="17">
        <v>738642</v>
      </c>
      <c r="X71" s="17">
        <v>440433</v>
      </c>
      <c r="Y71" s="17">
        <v>734054</v>
      </c>
      <c r="Z71" s="74"/>
      <c r="AA71" s="79"/>
    </row>
    <row r="72" spans="1:27" s="80" customFormat="1" ht="37.5" x14ac:dyDescent="0.3">
      <c r="A72" s="7">
        <v>71</v>
      </c>
      <c r="B72" s="75" t="s">
        <v>425</v>
      </c>
      <c r="C72" s="74" t="s">
        <v>40</v>
      </c>
      <c r="D72" s="74"/>
      <c r="E72" s="24" t="s">
        <v>135</v>
      </c>
      <c r="F72" s="74" t="s">
        <v>35</v>
      </c>
      <c r="G72" s="74" t="s">
        <v>8</v>
      </c>
      <c r="H72" s="74" t="s">
        <v>16</v>
      </c>
      <c r="I72" s="74" t="s">
        <v>35</v>
      </c>
      <c r="J72" s="74"/>
      <c r="K72" s="75" t="s">
        <v>1425</v>
      </c>
      <c r="L72" s="69">
        <v>793346</v>
      </c>
      <c r="M72" s="69">
        <v>1065007</v>
      </c>
      <c r="N72" s="69">
        <v>485624</v>
      </c>
      <c r="O72" s="78" t="s">
        <v>1417</v>
      </c>
      <c r="P72" s="78"/>
      <c r="Q72" s="74" t="s">
        <v>1417</v>
      </c>
      <c r="R72" s="74" t="s">
        <v>1417</v>
      </c>
      <c r="S72" s="78" t="s">
        <v>1417</v>
      </c>
      <c r="T72" s="17">
        <v>14424</v>
      </c>
      <c r="U72" s="17">
        <v>61294</v>
      </c>
      <c r="V72" s="17">
        <v>399142</v>
      </c>
      <c r="W72" s="17">
        <v>752406</v>
      </c>
      <c r="X72" s="17">
        <v>442727</v>
      </c>
      <c r="Y72" s="17">
        <v>860220</v>
      </c>
      <c r="Z72" s="74"/>
      <c r="AA72" s="79"/>
    </row>
    <row r="73" spans="1:27" s="80" customFormat="1" ht="37.5" x14ac:dyDescent="0.3">
      <c r="A73" s="7">
        <v>72</v>
      </c>
      <c r="B73" s="75" t="s">
        <v>426</v>
      </c>
      <c r="C73" s="74" t="s">
        <v>44</v>
      </c>
      <c r="D73" s="74"/>
      <c r="E73" s="24" t="s">
        <v>135</v>
      </c>
      <c r="F73" s="74" t="s">
        <v>36</v>
      </c>
      <c r="G73" s="74" t="s">
        <v>8</v>
      </c>
      <c r="H73" s="74" t="s">
        <v>32</v>
      </c>
      <c r="I73" s="74" t="s">
        <v>36</v>
      </c>
      <c r="J73" s="74"/>
      <c r="K73" s="75" t="s">
        <v>591</v>
      </c>
      <c r="L73" s="69">
        <v>3173386</v>
      </c>
      <c r="M73" s="69">
        <v>3774406</v>
      </c>
      <c r="N73" s="69">
        <v>4190311</v>
      </c>
      <c r="O73" s="17">
        <v>1488126</v>
      </c>
      <c r="P73" s="17">
        <v>1793444</v>
      </c>
      <c r="Q73" s="7">
        <v>3262337</v>
      </c>
      <c r="R73" s="7">
        <v>2589194</v>
      </c>
      <c r="S73" s="17">
        <v>2642084</v>
      </c>
      <c r="T73" s="17">
        <v>2630064</v>
      </c>
      <c r="U73" s="17">
        <v>2965054</v>
      </c>
      <c r="V73" s="17">
        <v>1711264</v>
      </c>
      <c r="W73" s="17">
        <v>1610332</v>
      </c>
      <c r="X73" s="17">
        <v>1328180</v>
      </c>
      <c r="Y73" s="17">
        <v>1362588</v>
      </c>
      <c r="Z73" s="74"/>
      <c r="AA73" s="79"/>
    </row>
    <row r="74" spans="1:27" s="80" customFormat="1" ht="37.5" x14ac:dyDescent="0.3">
      <c r="A74" s="7">
        <v>73</v>
      </c>
      <c r="B74" s="75" t="s">
        <v>427</v>
      </c>
      <c r="C74" s="74" t="s">
        <v>45</v>
      </c>
      <c r="D74" s="74"/>
      <c r="E74" s="24" t="s">
        <v>135</v>
      </c>
      <c r="F74" s="74" t="s">
        <v>37</v>
      </c>
      <c r="G74" s="74" t="s">
        <v>8</v>
      </c>
      <c r="H74" s="74" t="s">
        <v>32</v>
      </c>
      <c r="I74" s="74" t="s">
        <v>37</v>
      </c>
      <c r="J74" s="74"/>
      <c r="K74" s="75" t="s">
        <v>592</v>
      </c>
      <c r="L74" s="69">
        <v>2978655</v>
      </c>
      <c r="M74" s="69">
        <v>3832104</v>
      </c>
      <c r="N74" s="69">
        <v>4156654</v>
      </c>
      <c r="O74" s="17">
        <v>5207237</v>
      </c>
      <c r="P74" s="17">
        <v>5522172</v>
      </c>
      <c r="Q74" s="7">
        <v>2649296</v>
      </c>
      <c r="R74" s="7">
        <v>2613235</v>
      </c>
      <c r="S74" s="17">
        <v>2868067</v>
      </c>
      <c r="T74" s="17">
        <v>2644488</v>
      </c>
      <c r="U74" s="17">
        <v>2670330</v>
      </c>
      <c r="V74" s="17">
        <v>2142521</v>
      </c>
      <c r="W74" s="17">
        <v>1931481</v>
      </c>
      <c r="X74" s="17">
        <v>1367176</v>
      </c>
      <c r="Y74" s="17">
        <v>1610332</v>
      </c>
      <c r="Z74" s="74"/>
      <c r="AA74" s="79"/>
    </row>
    <row r="75" spans="1:27" s="80" customFormat="1" ht="37.5" x14ac:dyDescent="0.3">
      <c r="A75" s="7">
        <v>74</v>
      </c>
      <c r="B75" s="75" t="s">
        <v>69</v>
      </c>
      <c r="C75" s="74" t="s">
        <v>70</v>
      </c>
      <c r="D75" s="74"/>
      <c r="E75" s="24" t="s">
        <v>135</v>
      </c>
      <c r="F75" s="74" t="s">
        <v>11</v>
      </c>
      <c r="G75" s="74" t="s">
        <v>8</v>
      </c>
      <c r="H75" s="74" t="s">
        <v>16</v>
      </c>
      <c r="I75" s="74" t="s">
        <v>11</v>
      </c>
      <c r="J75" s="74"/>
      <c r="K75" s="75" t="s">
        <v>1459</v>
      </c>
      <c r="L75" s="69">
        <v>978558</v>
      </c>
      <c r="M75" s="69">
        <v>1053666</v>
      </c>
      <c r="N75" s="69">
        <v>504301</v>
      </c>
      <c r="O75" s="17">
        <v>90130</v>
      </c>
      <c r="P75" s="17">
        <v>4292</v>
      </c>
      <c r="Q75" s="7">
        <v>8584</v>
      </c>
      <c r="R75" s="7">
        <v>100860</v>
      </c>
      <c r="S75" s="17">
        <v>98714</v>
      </c>
      <c r="T75" s="17">
        <v>64379</v>
      </c>
      <c r="U75" s="17">
        <v>273078</v>
      </c>
      <c r="V75" s="17">
        <v>378821</v>
      </c>
      <c r="W75" s="17">
        <v>356296</v>
      </c>
      <c r="X75" s="17">
        <v>571303</v>
      </c>
      <c r="Y75" s="17">
        <v>884598</v>
      </c>
      <c r="Z75" s="74">
        <v>8040017</v>
      </c>
      <c r="AA75" s="79"/>
    </row>
    <row r="76" spans="1:27" s="84" customFormat="1" ht="37.5" x14ac:dyDescent="0.25">
      <c r="A76" s="7">
        <v>75</v>
      </c>
      <c r="B76" s="75" t="s">
        <v>68</v>
      </c>
      <c r="C76" s="74" t="s">
        <v>46</v>
      </c>
      <c r="D76" s="74"/>
      <c r="E76" s="24" t="s">
        <v>135</v>
      </c>
      <c r="F76" s="74" t="s">
        <v>38</v>
      </c>
      <c r="G76" s="74" t="s">
        <v>8</v>
      </c>
      <c r="H76" s="74" t="s">
        <v>32</v>
      </c>
      <c r="I76" s="74" t="s">
        <v>38</v>
      </c>
      <c r="J76" s="74"/>
      <c r="K76" s="75" t="s">
        <v>62</v>
      </c>
      <c r="L76" s="69">
        <v>2834410</v>
      </c>
      <c r="M76" s="69">
        <v>3091647</v>
      </c>
      <c r="N76" s="69">
        <v>2685357</v>
      </c>
      <c r="O76" s="17">
        <v>2776712</v>
      </c>
      <c r="P76" s="17">
        <v>3163769</v>
      </c>
      <c r="Q76" s="7">
        <v>3187810</v>
      </c>
      <c r="R76" s="7">
        <v>3279165</v>
      </c>
      <c r="S76" s="69">
        <v>3346479</v>
      </c>
      <c r="T76" s="69">
        <v>3303206</v>
      </c>
      <c r="U76" s="69">
        <v>3363600</v>
      </c>
      <c r="V76" s="69">
        <v>3805613</v>
      </c>
      <c r="W76" s="69">
        <v>2245748</v>
      </c>
      <c r="X76" s="69">
        <v>1442876</v>
      </c>
      <c r="Y76" s="69">
        <v>1633271</v>
      </c>
      <c r="Z76" s="74"/>
      <c r="AA76" s="79"/>
    </row>
    <row r="77" spans="1:27" s="80" customFormat="1" ht="37.5" x14ac:dyDescent="0.3">
      <c r="A77" s="7">
        <v>76</v>
      </c>
      <c r="B77" s="75" t="s">
        <v>66</v>
      </c>
      <c r="C77" s="76" t="s">
        <v>67</v>
      </c>
      <c r="D77" s="76"/>
      <c r="E77" s="24" t="s">
        <v>135</v>
      </c>
      <c r="F77" s="86" t="s">
        <v>16</v>
      </c>
      <c r="G77" s="74" t="s">
        <v>8</v>
      </c>
      <c r="H77" s="74" t="s">
        <v>16</v>
      </c>
      <c r="I77" s="86" t="s">
        <v>16</v>
      </c>
      <c r="J77" s="86"/>
      <c r="K77" s="85" t="s">
        <v>1422</v>
      </c>
      <c r="L77" s="95">
        <v>1579530</v>
      </c>
      <c r="M77" s="95">
        <v>1460385</v>
      </c>
      <c r="N77" s="69">
        <v>1361664</v>
      </c>
      <c r="O77" s="69">
        <v>1341239</v>
      </c>
      <c r="P77" s="69">
        <v>1998242</v>
      </c>
      <c r="Q77" s="69">
        <v>2042496</v>
      </c>
      <c r="R77" s="69">
        <v>2440783</v>
      </c>
      <c r="S77" s="17">
        <v>2284191</v>
      </c>
      <c r="T77" s="17">
        <v>2199087</v>
      </c>
      <c r="U77" s="17">
        <v>2794397</v>
      </c>
      <c r="V77" s="17">
        <v>2701970</v>
      </c>
      <c r="W77" s="17">
        <v>2708465</v>
      </c>
      <c r="X77" s="17">
        <v>1821881</v>
      </c>
      <c r="Y77" s="17">
        <v>1776415</v>
      </c>
      <c r="Z77" s="74">
        <v>12136959</v>
      </c>
      <c r="AA77" s="79"/>
    </row>
    <row r="78" spans="1:27" s="3" customFormat="1" ht="39" customHeight="1" x14ac:dyDescent="0.3">
      <c r="A78" s="7">
        <v>77</v>
      </c>
      <c r="B78" s="20" t="s">
        <v>1026</v>
      </c>
      <c r="C78" s="60" t="s">
        <v>1388</v>
      </c>
      <c r="D78" s="51" t="s">
        <v>1369</v>
      </c>
      <c r="E78" s="29" t="s">
        <v>416</v>
      </c>
      <c r="F78" s="19" t="s">
        <v>79</v>
      </c>
      <c r="G78" s="19" t="s">
        <v>8</v>
      </c>
      <c r="H78" s="19" t="s">
        <v>80</v>
      </c>
      <c r="I78" s="19" t="s">
        <v>79</v>
      </c>
      <c r="J78" s="19" t="s">
        <v>681</v>
      </c>
      <c r="K78" s="20" t="s">
        <v>1138</v>
      </c>
      <c r="L78" s="23">
        <v>447250</v>
      </c>
      <c r="M78" s="23">
        <v>645170</v>
      </c>
      <c r="N78" s="23"/>
      <c r="O78" s="23"/>
      <c r="P78" s="23"/>
      <c r="Q78" s="20"/>
      <c r="R78" s="20"/>
      <c r="S78" s="21"/>
      <c r="T78" s="21"/>
      <c r="U78" s="21"/>
      <c r="V78" s="21"/>
      <c r="W78" s="21"/>
      <c r="X78" s="21"/>
      <c r="Y78" s="21"/>
      <c r="Z78" s="19"/>
      <c r="AA78" s="22"/>
    </row>
    <row r="79" spans="1:27" s="3" customFormat="1" ht="37.5" x14ac:dyDescent="0.3">
      <c r="A79" s="7">
        <v>78</v>
      </c>
      <c r="B79" s="20" t="s">
        <v>1025</v>
      </c>
      <c r="C79" s="56"/>
      <c r="D79" s="63"/>
      <c r="E79" s="29" t="s">
        <v>416</v>
      </c>
      <c r="F79" s="19"/>
      <c r="G79" s="19" t="s">
        <v>8</v>
      </c>
      <c r="H79" s="19" t="s">
        <v>80</v>
      </c>
      <c r="I79" s="34" t="s">
        <v>80</v>
      </c>
      <c r="J79" s="19" t="s">
        <v>796</v>
      </c>
      <c r="K79" s="20" t="s">
        <v>1137</v>
      </c>
      <c r="L79" s="23">
        <v>1004201</v>
      </c>
      <c r="M79" s="23">
        <v>1204347</v>
      </c>
      <c r="N79" s="23"/>
      <c r="O79" s="23"/>
      <c r="P79" s="23"/>
      <c r="Q79" s="20"/>
      <c r="R79" s="20"/>
      <c r="S79" s="21"/>
      <c r="T79" s="21"/>
      <c r="U79" s="21"/>
      <c r="V79" s="21"/>
      <c r="W79" s="21"/>
      <c r="X79" s="21"/>
      <c r="Y79" s="21"/>
      <c r="Z79" s="19"/>
      <c r="AA79" s="22"/>
    </row>
    <row r="80" spans="1:27" s="3" customFormat="1" ht="37.5" x14ac:dyDescent="0.3">
      <c r="A80" s="7">
        <v>79</v>
      </c>
      <c r="B80" s="20" t="s">
        <v>1027</v>
      </c>
      <c r="C80" s="60" t="s">
        <v>962</v>
      </c>
      <c r="D80" s="60" t="e">
        <f>VLOOKUP(I80,#REF!,14,0)</f>
        <v>#REF!</v>
      </c>
      <c r="E80" s="29" t="s">
        <v>416</v>
      </c>
      <c r="F80" s="19" t="s">
        <v>81</v>
      </c>
      <c r="G80" s="19" t="s">
        <v>8</v>
      </c>
      <c r="H80" s="19" t="s">
        <v>80</v>
      </c>
      <c r="I80" s="19" t="s">
        <v>81</v>
      </c>
      <c r="J80" s="19" t="s">
        <v>759</v>
      </c>
      <c r="K80" s="20" t="s">
        <v>1139</v>
      </c>
      <c r="L80" s="23">
        <v>956189</v>
      </c>
      <c r="M80" s="23">
        <v>1596218</v>
      </c>
      <c r="N80" s="23"/>
      <c r="O80" s="23"/>
      <c r="P80" s="23"/>
      <c r="Q80" s="20"/>
      <c r="R80" s="20"/>
      <c r="S80" s="21"/>
      <c r="T80" s="21"/>
      <c r="U80" s="21"/>
      <c r="V80" s="21"/>
      <c r="W80" s="21"/>
      <c r="X80" s="21"/>
      <c r="Y80" s="21"/>
      <c r="Z80" s="19"/>
      <c r="AA80" s="22"/>
    </row>
    <row r="81" spans="1:27" s="3" customFormat="1" ht="37.5" x14ac:dyDescent="0.3">
      <c r="A81" s="7">
        <v>80</v>
      </c>
      <c r="B81" s="20" t="s">
        <v>1029</v>
      </c>
      <c r="C81" s="60" t="s">
        <v>1398</v>
      </c>
      <c r="D81" s="51" t="s">
        <v>1369</v>
      </c>
      <c r="E81" s="29" t="s">
        <v>416</v>
      </c>
      <c r="F81" s="19" t="s">
        <v>83</v>
      </c>
      <c r="G81" s="19" t="s">
        <v>8</v>
      </c>
      <c r="H81" s="19" t="s">
        <v>80</v>
      </c>
      <c r="I81" s="19" t="s">
        <v>83</v>
      </c>
      <c r="J81" s="19" t="s">
        <v>769</v>
      </c>
      <c r="K81" s="20" t="s">
        <v>1141</v>
      </c>
      <c r="L81" s="23">
        <v>997315</v>
      </c>
      <c r="M81" s="23">
        <v>1547381</v>
      </c>
      <c r="N81" s="23"/>
      <c r="O81" s="23"/>
      <c r="P81" s="23"/>
      <c r="Q81" s="20"/>
      <c r="R81" s="20"/>
      <c r="S81" s="21"/>
      <c r="T81" s="21"/>
      <c r="U81" s="21"/>
      <c r="V81" s="21"/>
      <c r="W81" s="21"/>
      <c r="X81" s="21"/>
      <c r="Y81" s="21"/>
      <c r="Z81" s="19"/>
      <c r="AA81" s="22"/>
    </row>
    <row r="82" spans="1:27" s="3" customFormat="1" ht="37.5" x14ac:dyDescent="0.3">
      <c r="A82" s="7">
        <v>81</v>
      </c>
      <c r="B82" s="20" t="s">
        <v>1031</v>
      </c>
      <c r="C82" s="60" t="s">
        <v>1384</v>
      </c>
      <c r="D82" s="60" t="s">
        <v>1369</v>
      </c>
      <c r="E82" s="29" t="s">
        <v>416</v>
      </c>
      <c r="F82" s="19" t="s">
        <v>85</v>
      </c>
      <c r="G82" s="19" t="s">
        <v>8</v>
      </c>
      <c r="H82" s="19" t="s">
        <v>80</v>
      </c>
      <c r="I82" s="19" t="s">
        <v>85</v>
      </c>
      <c r="J82" s="19" t="s">
        <v>777</v>
      </c>
      <c r="K82" s="20" t="s">
        <v>1143</v>
      </c>
      <c r="L82" s="23">
        <v>462672</v>
      </c>
      <c r="M82" s="23">
        <v>729994</v>
      </c>
      <c r="N82" s="23"/>
      <c r="O82" s="23"/>
      <c r="P82" s="23"/>
      <c r="Q82" s="20"/>
      <c r="R82" s="20"/>
      <c r="S82" s="21"/>
      <c r="T82" s="21"/>
      <c r="U82" s="21"/>
      <c r="V82" s="21"/>
      <c r="W82" s="21"/>
      <c r="X82" s="21"/>
      <c r="Y82" s="21"/>
      <c r="Z82" s="19"/>
      <c r="AA82" s="22"/>
    </row>
    <row r="83" spans="1:27" s="3" customFormat="1" ht="37.5" x14ac:dyDescent="0.3">
      <c r="A83" s="7">
        <v>82</v>
      </c>
      <c r="B83" s="20" t="s">
        <v>1032</v>
      </c>
      <c r="C83" s="60" t="s">
        <v>1377</v>
      </c>
      <c r="D83" s="60" t="s">
        <v>1369</v>
      </c>
      <c r="E83" s="29" t="s">
        <v>416</v>
      </c>
      <c r="F83" s="19" t="s">
        <v>86</v>
      </c>
      <c r="G83" s="19" t="s">
        <v>8</v>
      </c>
      <c r="H83" s="19" t="s">
        <v>80</v>
      </c>
      <c r="I83" s="19" t="s">
        <v>86</v>
      </c>
      <c r="J83" s="19" t="s">
        <v>781</v>
      </c>
      <c r="K83" s="20" t="s">
        <v>1144</v>
      </c>
      <c r="L83" s="23">
        <v>753127</v>
      </c>
      <c r="M83" s="23">
        <v>938196</v>
      </c>
      <c r="N83" s="23"/>
      <c r="O83" s="23"/>
      <c r="P83" s="23"/>
      <c r="Q83" s="20"/>
      <c r="R83" s="20"/>
      <c r="S83" s="21"/>
      <c r="T83" s="21"/>
      <c r="U83" s="21"/>
      <c r="V83" s="21"/>
      <c r="W83" s="21"/>
      <c r="X83" s="21"/>
      <c r="Y83" s="21"/>
      <c r="Z83" s="19"/>
      <c r="AA83" s="22"/>
    </row>
    <row r="84" spans="1:27" s="3" customFormat="1" ht="37.5" x14ac:dyDescent="0.3">
      <c r="A84" s="7">
        <v>83</v>
      </c>
      <c r="B84" s="20" t="s">
        <v>1028</v>
      </c>
      <c r="C84" s="60" t="s">
        <v>1405</v>
      </c>
      <c r="D84" s="51" t="s">
        <v>1369</v>
      </c>
      <c r="E84" s="29" t="s">
        <v>416</v>
      </c>
      <c r="F84" s="19" t="s">
        <v>82</v>
      </c>
      <c r="G84" s="19" t="s">
        <v>8</v>
      </c>
      <c r="H84" s="19" t="s">
        <v>80</v>
      </c>
      <c r="I84" s="19" t="s">
        <v>82</v>
      </c>
      <c r="J84" s="19" t="s">
        <v>764</v>
      </c>
      <c r="K84" s="20" t="s">
        <v>1140</v>
      </c>
      <c r="L84" s="23">
        <v>904781</v>
      </c>
      <c r="M84" s="23">
        <v>1053864</v>
      </c>
      <c r="N84" s="23"/>
      <c r="O84" s="23"/>
      <c r="P84" s="23"/>
      <c r="Q84" s="20"/>
      <c r="R84" s="20"/>
      <c r="S84" s="21"/>
      <c r="T84" s="21"/>
      <c r="U84" s="21"/>
      <c r="V84" s="21"/>
      <c r="W84" s="21"/>
      <c r="X84" s="21"/>
      <c r="Y84" s="21"/>
      <c r="Z84" s="19"/>
      <c r="AA84" s="22"/>
    </row>
    <row r="85" spans="1:27" s="3" customFormat="1" ht="37.5" x14ac:dyDescent="0.3">
      <c r="A85" s="7">
        <v>84</v>
      </c>
      <c r="B85" s="20" t="s">
        <v>1030</v>
      </c>
      <c r="C85" s="60" t="s">
        <v>1350</v>
      </c>
      <c r="D85" s="60" t="e">
        <f>VLOOKUP(I85,#REF!,14,0)</f>
        <v>#REF!</v>
      </c>
      <c r="E85" s="29" t="s">
        <v>416</v>
      </c>
      <c r="F85" s="19" t="s">
        <v>84</v>
      </c>
      <c r="G85" s="19" t="s">
        <v>8</v>
      </c>
      <c r="H85" s="19" t="s">
        <v>80</v>
      </c>
      <c r="I85" s="19" t="s">
        <v>84</v>
      </c>
      <c r="J85" s="19" t="s">
        <v>774</v>
      </c>
      <c r="K85" s="20" t="s">
        <v>1142</v>
      </c>
      <c r="L85" s="23">
        <v>673445</v>
      </c>
      <c r="M85" s="23">
        <v>927914</v>
      </c>
      <c r="N85" s="23"/>
      <c r="O85" s="23"/>
      <c r="P85" s="23"/>
      <c r="Q85" s="20"/>
      <c r="R85" s="20"/>
      <c r="S85" s="21"/>
      <c r="T85" s="21"/>
      <c r="U85" s="21"/>
      <c r="V85" s="21"/>
      <c r="W85" s="21"/>
      <c r="X85" s="21"/>
      <c r="Y85" s="21"/>
      <c r="Z85" s="19"/>
      <c r="AA85" s="22"/>
    </row>
    <row r="86" spans="1:27" s="3" customFormat="1" ht="37.5" x14ac:dyDescent="0.3">
      <c r="A86" s="7">
        <v>85</v>
      </c>
      <c r="B86" s="20" t="s">
        <v>1034</v>
      </c>
      <c r="C86" s="60" t="s">
        <v>964</v>
      </c>
      <c r="D86" s="60" t="e">
        <f>VLOOKUP(I86,#REF!,14,0)</f>
        <v>#REF!</v>
      </c>
      <c r="E86" s="29" t="s">
        <v>416</v>
      </c>
      <c r="F86" s="19" t="s">
        <v>87</v>
      </c>
      <c r="G86" s="19" t="s">
        <v>8</v>
      </c>
      <c r="H86" s="19" t="s">
        <v>80</v>
      </c>
      <c r="I86" s="19" t="s">
        <v>87</v>
      </c>
      <c r="J86" s="19" t="s">
        <v>789</v>
      </c>
      <c r="K86" s="20" t="s">
        <v>1146</v>
      </c>
      <c r="L86" s="23">
        <v>650311</v>
      </c>
      <c r="M86" s="23">
        <v>979322</v>
      </c>
      <c r="N86" s="23"/>
      <c r="O86" s="23"/>
      <c r="P86" s="23"/>
      <c r="Q86" s="20"/>
      <c r="R86" s="20"/>
      <c r="S86" s="21"/>
      <c r="T86" s="21"/>
      <c r="U86" s="21"/>
      <c r="V86" s="21"/>
      <c r="W86" s="21"/>
      <c r="X86" s="21"/>
      <c r="Y86" s="21"/>
      <c r="Z86" s="19"/>
      <c r="AA86" s="22"/>
    </row>
    <row r="87" spans="1:27" s="3" customFormat="1" ht="37.5" x14ac:dyDescent="0.3">
      <c r="A87" s="7">
        <v>86</v>
      </c>
      <c r="B87" s="20" t="s">
        <v>1033</v>
      </c>
      <c r="C87" s="60" t="s">
        <v>1386</v>
      </c>
      <c r="D87" s="60" t="s">
        <v>1369</v>
      </c>
      <c r="E87" s="29" t="s">
        <v>416</v>
      </c>
      <c r="F87" s="19" t="s">
        <v>88</v>
      </c>
      <c r="G87" s="19" t="s">
        <v>8</v>
      </c>
      <c r="H87" s="19" t="s">
        <v>80</v>
      </c>
      <c r="I87" s="19" t="s">
        <v>88</v>
      </c>
      <c r="J87" s="19" t="s">
        <v>785</v>
      </c>
      <c r="K87" s="20" t="s">
        <v>1145</v>
      </c>
      <c r="L87" s="23">
        <v>694008</v>
      </c>
      <c r="M87" s="23">
        <v>853373</v>
      </c>
      <c r="N87" s="23"/>
      <c r="O87" s="23"/>
      <c r="P87" s="23"/>
      <c r="Q87" s="20"/>
      <c r="R87" s="20"/>
      <c r="S87" s="21"/>
      <c r="T87" s="21"/>
      <c r="U87" s="21"/>
      <c r="V87" s="21"/>
      <c r="W87" s="21"/>
      <c r="X87" s="21"/>
      <c r="Y87" s="21"/>
      <c r="Z87" s="19"/>
      <c r="AA87" s="22"/>
    </row>
    <row r="88" spans="1:27" s="3" customFormat="1" ht="37.5" x14ac:dyDescent="0.3">
      <c r="A88" s="7">
        <v>87</v>
      </c>
      <c r="B88" s="20" t="s">
        <v>1035</v>
      </c>
      <c r="C88" s="60" t="s">
        <v>1373</v>
      </c>
      <c r="D88" s="60" t="s">
        <v>1369</v>
      </c>
      <c r="E88" s="29" t="s">
        <v>416</v>
      </c>
      <c r="F88" s="19" t="s">
        <v>89</v>
      </c>
      <c r="G88" s="19" t="s">
        <v>8</v>
      </c>
      <c r="H88" s="19" t="s">
        <v>80</v>
      </c>
      <c r="I88" s="19" t="s">
        <v>89</v>
      </c>
      <c r="J88" s="19" t="s">
        <v>797</v>
      </c>
      <c r="K88" s="20" t="s">
        <v>1147</v>
      </c>
      <c r="L88" s="23">
        <v>737705</v>
      </c>
      <c r="M88" s="23">
        <v>953618</v>
      </c>
      <c r="N88" s="23"/>
      <c r="O88" s="23"/>
      <c r="P88" s="23"/>
      <c r="Q88" s="20"/>
      <c r="R88" s="20"/>
      <c r="S88" s="21"/>
      <c r="T88" s="21"/>
      <c r="U88" s="21"/>
      <c r="V88" s="21"/>
      <c r="W88" s="21"/>
      <c r="X88" s="21"/>
      <c r="Y88" s="21"/>
      <c r="Z88" s="19"/>
      <c r="AA88" s="22"/>
    </row>
    <row r="89" spans="1:27" s="3" customFormat="1" ht="37.5" x14ac:dyDescent="0.3">
      <c r="A89" s="7">
        <v>88</v>
      </c>
      <c r="B89" s="20" t="s">
        <v>1037</v>
      </c>
      <c r="C89" s="56"/>
      <c r="D89" s="63"/>
      <c r="E89" s="29" t="s">
        <v>416</v>
      </c>
      <c r="F89" s="19"/>
      <c r="G89" s="19" t="s">
        <v>8</v>
      </c>
      <c r="H89" s="19" t="s">
        <v>80</v>
      </c>
      <c r="I89" s="19" t="s">
        <v>90</v>
      </c>
      <c r="J89" s="19" t="s">
        <v>760</v>
      </c>
      <c r="K89" s="20" t="s">
        <v>1149</v>
      </c>
      <c r="L89" s="23">
        <v>1551632</v>
      </c>
      <c r="M89" s="23">
        <v>1598664</v>
      </c>
      <c r="N89" s="23"/>
      <c r="O89" s="23"/>
      <c r="P89" s="23"/>
      <c r="Q89" s="20"/>
      <c r="R89" s="20"/>
      <c r="S89" s="21"/>
      <c r="T89" s="21"/>
      <c r="U89" s="21"/>
      <c r="V89" s="21"/>
      <c r="W89" s="21"/>
      <c r="X89" s="21"/>
      <c r="Y89" s="21"/>
      <c r="Z89" s="19"/>
      <c r="AA89" s="22"/>
    </row>
    <row r="90" spans="1:27" s="3" customFormat="1" ht="37.5" x14ac:dyDescent="0.3">
      <c r="A90" s="7">
        <v>89</v>
      </c>
      <c r="B90" s="20" t="s">
        <v>1039</v>
      </c>
      <c r="C90" s="60" t="s">
        <v>1400</v>
      </c>
      <c r="D90" s="51" t="s">
        <v>1369</v>
      </c>
      <c r="E90" s="29" t="s">
        <v>416</v>
      </c>
      <c r="F90" s="19" t="s">
        <v>91</v>
      </c>
      <c r="G90" s="19" t="s">
        <v>8</v>
      </c>
      <c r="H90" s="19" t="s">
        <v>80</v>
      </c>
      <c r="I90" s="19" t="s">
        <v>91</v>
      </c>
      <c r="J90" s="19" t="s">
        <v>770</v>
      </c>
      <c r="K90" s="20" t="s">
        <v>1151</v>
      </c>
      <c r="L90" s="23">
        <v>813132</v>
      </c>
      <c r="M90" s="23">
        <v>1113426</v>
      </c>
      <c r="N90" s="23"/>
      <c r="O90" s="23"/>
      <c r="P90" s="23"/>
      <c r="Q90" s="20"/>
      <c r="R90" s="20"/>
      <c r="S90" s="21"/>
      <c r="T90" s="21"/>
      <c r="U90" s="21"/>
      <c r="V90" s="21"/>
      <c r="W90" s="21"/>
      <c r="X90" s="21"/>
      <c r="Y90" s="21"/>
      <c r="Z90" s="19"/>
      <c r="AA90" s="22"/>
    </row>
    <row r="91" spans="1:27" s="3" customFormat="1" ht="37.5" x14ac:dyDescent="0.3">
      <c r="A91" s="7">
        <v>90</v>
      </c>
      <c r="B91" s="20" t="s">
        <v>1040</v>
      </c>
      <c r="C91" s="60" t="s">
        <v>1385</v>
      </c>
      <c r="D91" s="51" t="s">
        <v>1369</v>
      </c>
      <c r="E91" s="29" t="s">
        <v>416</v>
      </c>
      <c r="F91" s="19" t="s">
        <v>92</v>
      </c>
      <c r="G91" s="19" t="s">
        <v>8</v>
      </c>
      <c r="H91" s="19" t="s">
        <v>80</v>
      </c>
      <c r="I91" s="19" t="s">
        <v>92</v>
      </c>
      <c r="J91" s="19" t="s">
        <v>775</v>
      </c>
      <c r="K91" s="20" t="s">
        <v>1152</v>
      </c>
      <c r="L91" s="23">
        <v>442109</v>
      </c>
      <c r="M91" s="23">
        <v>673445</v>
      </c>
      <c r="N91" s="23"/>
      <c r="O91" s="23"/>
      <c r="P91" s="23"/>
      <c r="Q91" s="20"/>
      <c r="R91" s="20"/>
      <c r="S91" s="21"/>
      <c r="T91" s="21"/>
      <c r="U91" s="21"/>
      <c r="V91" s="21"/>
      <c r="W91" s="21"/>
      <c r="X91" s="21"/>
      <c r="Y91" s="21"/>
      <c r="Z91" s="19"/>
      <c r="AA91" s="22"/>
    </row>
    <row r="92" spans="1:27" s="3" customFormat="1" ht="37.5" x14ac:dyDescent="0.3">
      <c r="A92" s="7">
        <v>91</v>
      </c>
      <c r="B92" s="20" t="s">
        <v>1041</v>
      </c>
      <c r="C92" s="60" t="s">
        <v>1411</v>
      </c>
      <c r="D92" s="51" t="s">
        <v>1369</v>
      </c>
      <c r="E92" s="29" t="s">
        <v>416</v>
      </c>
      <c r="F92" s="19" t="s">
        <v>93</v>
      </c>
      <c r="G92" s="19" t="s">
        <v>8</v>
      </c>
      <c r="H92" s="19" t="s">
        <v>80</v>
      </c>
      <c r="I92" s="19" t="s">
        <v>93</v>
      </c>
      <c r="J92" s="19" t="s">
        <v>778</v>
      </c>
      <c r="K92" s="20" t="s">
        <v>1153</v>
      </c>
      <c r="L92" s="23">
        <v>289807</v>
      </c>
      <c r="M92" s="23">
        <v>423468</v>
      </c>
      <c r="N92" s="23"/>
      <c r="O92" s="23"/>
      <c r="P92" s="23"/>
      <c r="Q92" s="20"/>
      <c r="R92" s="20"/>
      <c r="S92" s="21"/>
      <c r="T92" s="21"/>
      <c r="U92" s="21"/>
      <c r="V92" s="21"/>
      <c r="W92" s="21"/>
      <c r="X92" s="21"/>
      <c r="Y92" s="21"/>
      <c r="Z92" s="19"/>
      <c r="AA92" s="22"/>
    </row>
    <row r="93" spans="1:27" s="3" customFormat="1" ht="37.5" x14ac:dyDescent="0.3">
      <c r="A93" s="7">
        <v>92</v>
      </c>
      <c r="B93" s="20" t="s">
        <v>1042</v>
      </c>
      <c r="C93" s="60" t="s">
        <v>1414</v>
      </c>
      <c r="D93" s="51" t="s">
        <v>1369</v>
      </c>
      <c r="E93" s="29" t="s">
        <v>416</v>
      </c>
      <c r="F93" s="19" t="s">
        <v>94</v>
      </c>
      <c r="G93" s="19" t="s">
        <v>8</v>
      </c>
      <c r="H93" s="19" t="s">
        <v>80</v>
      </c>
      <c r="I93" s="19" t="s">
        <v>94</v>
      </c>
      <c r="J93" s="19" t="s">
        <v>782</v>
      </c>
      <c r="K93" s="20" t="s">
        <v>1154</v>
      </c>
      <c r="L93" s="23">
        <v>1012738</v>
      </c>
      <c r="M93" s="23">
        <v>1213229</v>
      </c>
      <c r="N93" s="23"/>
      <c r="O93" s="23"/>
      <c r="P93" s="23"/>
      <c r="Q93" s="20"/>
      <c r="R93" s="20"/>
      <c r="S93" s="21"/>
      <c r="T93" s="21"/>
      <c r="U93" s="21"/>
      <c r="V93" s="21"/>
      <c r="W93" s="21"/>
      <c r="X93" s="21"/>
      <c r="Y93" s="21"/>
      <c r="Z93" s="19"/>
      <c r="AA93" s="22"/>
    </row>
    <row r="94" spans="1:27" s="3" customFormat="1" ht="37.5" x14ac:dyDescent="0.3">
      <c r="A94" s="7">
        <v>93</v>
      </c>
      <c r="B94" s="20" t="s">
        <v>1043</v>
      </c>
      <c r="C94" s="60" t="s">
        <v>1381</v>
      </c>
      <c r="D94" s="60" t="s">
        <v>1369</v>
      </c>
      <c r="E94" s="29" t="s">
        <v>416</v>
      </c>
      <c r="F94" s="19" t="s">
        <v>95</v>
      </c>
      <c r="G94" s="19" t="s">
        <v>8</v>
      </c>
      <c r="H94" s="19" t="s">
        <v>80</v>
      </c>
      <c r="I94" s="19" t="s">
        <v>95</v>
      </c>
      <c r="J94" s="19" t="s">
        <v>786</v>
      </c>
      <c r="K94" s="20" t="s">
        <v>1155</v>
      </c>
      <c r="L94" s="23">
        <v>372708</v>
      </c>
      <c r="M94" s="23">
        <v>753127</v>
      </c>
      <c r="N94" s="23"/>
      <c r="O94" s="23"/>
      <c r="P94" s="23"/>
      <c r="Q94" s="20"/>
      <c r="R94" s="20"/>
      <c r="S94" s="21"/>
      <c r="T94" s="21"/>
      <c r="U94" s="21"/>
      <c r="V94" s="21"/>
      <c r="W94" s="21"/>
      <c r="X94" s="21"/>
      <c r="Y94" s="21"/>
      <c r="Z94" s="19"/>
      <c r="AA94" s="22"/>
    </row>
    <row r="95" spans="1:27" s="3" customFormat="1" ht="37.5" x14ac:dyDescent="0.3">
      <c r="A95" s="7">
        <v>94</v>
      </c>
      <c r="B95" s="20" t="s">
        <v>1046</v>
      </c>
      <c r="C95" s="60" t="s">
        <v>1374</v>
      </c>
      <c r="D95" s="60" t="s">
        <v>1369</v>
      </c>
      <c r="E95" s="29" t="s">
        <v>416</v>
      </c>
      <c r="F95" s="19" t="s">
        <v>98</v>
      </c>
      <c r="G95" s="19" t="s">
        <v>8</v>
      </c>
      <c r="H95" s="19" t="s">
        <v>80</v>
      </c>
      <c r="I95" s="19" t="s">
        <v>98</v>
      </c>
      <c r="J95" s="19" t="s">
        <v>800</v>
      </c>
      <c r="K95" s="20" t="s">
        <v>1158</v>
      </c>
      <c r="L95" s="23">
        <v>855943</v>
      </c>
      <c r="M95" s="23">
        <v>1138687</v>
      </c>
      <c r="N95" s="23"/>
      <c r="O95" s="23"/>
      <c r="P95" s="23"/>
      <c r="Q95" s="20"/>
      <c r="R95" s="20"/>
      <c r="S95" s="21"/>
      <c r="T95" s="21"/>
      <c r="U95" s="21"/>
      <c r="V95" s="21"/>
      <c r="W95" s="21"/>
      <c r="X95" s="21"/>
      <c r="Y95" s="21"/>
      <c r="Z95" s="19"/>
      <c r="AA95" s="22"/>
    </row>
    <row r="96" spans="1:27" s="3" customFormat="1" ht="37.5" x14ac:dyDescent="0.3">
      <c r="A96" s="7">
        <v>95</v>
      </c>
      <c r="B96" s="20" t="s">
        <v>1047</v>
      </c>
      <c r="C96" s="60" t="s">
        <v>1380</v>
      </c>
      <c r="D96" s="60" t="s">
        <v>1369</v>
      </c>
      <c r="E96" s="29" t="s">
        <v>416</v>
      </c>
      <c r="F96" s="19" t="s">
        <v>99</v>
      </c>
      <c r="G96" s="19" t="s">
        <v>8</v>
      </c>
      <c r="H96" s="19" t="s">
        <v>80</v>
      </c>
      <c r="I96" s="19" t="s">
        <v>99</v>
      </c>
      <c r="J96" s="19" t="s">
        <v>761</v>
      </c>
      <c r="K96" s="20" t="s">
        <v>1159</v>
      </c>
      <c r="L96" s="23">
        <v>663163</v>
      </c>
      <c r="M96" s="23">
        <v>912492</v>
      </c>
      <c r="N96" s="23"/>
      <c r="O96" s="23"/>
      <c r="P96" s="23"/>
      <c r="Q96" s="20"/>
      <c r="R96" s="20"/>
      <c r="S96" s="21"/>
      <c r="T96" s="21"/>
      <c r="U96" s="21"/>
      <c r="V96" s="21"/>
      <c r="W96" s="21"/>
      <c r="X96" s="21"/>
      <c r="Y96" s="21"/>
      <c r="Z96" s="19"/>
      <c r="AA96" s="22"/>
    </row>
    <row r="97" spans="1:27" s="3" customFormat="1" ht="37.5" x14ac:dyDescent="0.3">
      <c r="A97" s="7">
        <v>96</v>
      </c>
      <c r="B97" s="20" t="s">
        <v>1048</v>
      </c>
      <c r="C97" s="60" t="s">
        <v>963</v>
      </c>
      <c r="D97" s="60" t="e">
        <f>VLOOKUP(I97,#REF!,14,0)</f>
        <v>#REF!</v>
      </c>
      <c r="E97" s="29" t="s">
        <v>416</v>
      </c>
      <c r="F97" s="19" t="s">
        <v>100</v>
      </c>
      <c r="G97" s="19" t="s">
        <v>8</v>
      </c>
      <c r="H97" s="19" t="s">
        <v>80</v>
      </c>
      <c r="I97" s="19" t="s">
        <v>100</v>
      </c>
      <c r="J97" s="19" t="s">
        <v>766</v>
      </c>
      <c r="K97" s="20" t="s">
        <v>1160</v>
      </c>
      <c r="L97" s="23">
        <v>778831</v>
      </c>
      <c r="M97" s="23">
        <v>796824</v>
      </c>
      <c r="N97" s="23"/>
      <c r="O97" s="23"/>
      <c r="P97" s="23"/>
      <c r="Q97" s="20"/>
      <c r="R97" s="20"/>
      <c r="S97" s="21"/>
      <c r="T97" s="21"/>
      <c r="U97" s="21"/>
      <c r="V97" s="21"/>
      <c r="W97" s="21"/>
      <c r="X97" s="21"/>
      <c r="Y97" s="21"/>
      <c r="Z97" s="19"/>
      <c r="AA97" s="22"/>
    </row>
    <row r="98" spans="1:27" s="3" customFormat="1" ht="37.5" x14ac:dyDescent="0.3">
      <c r="A98" s="7">
        <v>97</v>
      </c>
      <c r="B98" s="20" t="s">
        <v>1049</v>
      </c>
      <c r="C98" s="60" t="s">
        <v>1390</v>
      </c>
      <c r="D98" s="60" t="s">
        <v>1369</v>
      </c>
      <c r="E98" s="29" t="s">
        <v>416</v>
      </c>
      <c r="F98" s="19" t="s">
        <v>101</v>
      </c>
      <c r="G98" s="19" t="s">
        <v>8</v>
      </c>
      <c r="H98" s="19" t="s">
        <v>80</v>
      </c>
      <c r="I98" s="19" t="s">
        <v>101</v>
      </c>
      <c r="J98" s="19" t="s">
        <v>771</v>
      </c>
      <c r="K98" s="20" t="s">
        <v>1161</v>
      </c>
      <c r="L98" s="23">
        <v>732564</v>
      </c>
      <c r="M98" s="23">
        <v>927914</v>
      </c>
      <c r="N98" s="23"/>
      <c r="O98" s="23"/>
      <c r="P98" s="23"/>
      <c r="Q98" s="20"/>
      <c r="R98" s="20"/>
      <c r="S98" s="21"/>
      <c r="T98" s="21"/>
      <c r="U98" s="21"/>
      <c r="V98" s="21"/>
      <c r="W98" s="21"/>
      <c r="X98" s="21"/>
      <c r="Y98" s="21"/>
      <c r="Z98" s="19"/>
      <c r="AA98" s="22"/>
    </row>
    <row r="99" spans="1:27" s="3" customFormat="1" ht="37.5" x14ac:dyDescent="0.3">
      <c r="A99" s="7">
        <v>98</v>
      </c>
      <c r="B99" s="20" t="s">
        <v>1050</v>
      </c>
      <c r="C99" s="60" t="s">
        <v>966</v>
      </c>
      <c r="D99" s="60" t="e">
        <f>VLOOKUP(I99,#REF!,14,0)</f>
        <v>#REF!</v>
      </c>
      <c r="E99" s="29" t="s">
        <v>416</v>
      </c>
      <c r="F99" s="19" t="s">
        <v>102</v>
      </c>
      <c r="G99" s="19" t="s">
        <v>8</v>
      </c>
      <c r="H99" s="19" t="s">
        <v>80</v>
      </c>
      <c r="I99" s="19" t="s">
        <v>102</v>
      </c>
      <c r="J99" s="19" t="s">
        <v>776</v>
      </c>
      <c r="K99" s="20" t="s">
        <v>1162</v>
      </c>
      <c r="L99" s="23">
        <v>555206</v>
      </c>
      <c r="M99" s="23">
        <v>398412</v>
      </c>
      <c r="N99" s="23"/>
      <c r="O99" s="23"/>
      <c r="P99" s="23"/>
      <c r="Q99" s="20"/>
      <c r="R99" s="20"/>
      <c r="S99" s="21"/>
      <c r="T99" s="21"/>
      <c r="U99" s="21"/>
      <c r="V99" s="21"/>
      <c r="W99" s="21"/>
      <c r="X99" s="21"/>
      <c r="Y99" s="21"/>
      <c r="Z99" s="19"/>
      <c r="AA99" s="22"/>
    </row>
    <row r="100" spans="1:27" s="3" customFormat="1" ht="37.5" x14ac:dyDescent="0.3">
      <c r="A100" s="7">
        <v>99</v>
      </c>
      <c r="B100" s="20" t="s">
        <v>1051</v>
      </c>
      <c r="C100" s="51" t="s">
        <v>1401</v>
      </c>
      <c r="D100" s="60" t="s">
        <v>1369</v>
      </c>
      <c r="E100" s="29" t="s">
        <v>416</v>
      </c>
      <c r="F100" s="19" t="s">
        <v>103</v>
      </c>
      <c r="G100" s="19" t="s">
        <v>8</v>
      </c>
      <c r="H100" s="19" t="s">
        <v>80</v>
      </c>
      <c r="I100" s="19" t="s">
        <v>103</v>
      </c>
      <c r="J100" s="19" t="s">
        <v>779</v>
      </c>
      <c r="K100" s="20" t="s">
        <v>1163</v>
      </c>
      <c r="L100" s="23">
        <v>627178</v>
      </c>
      <c r="M100" s="23">
        <v>460102</v>
      </c>
      <c r="N100" s="23"/>
      <c r="O100" s="21"/>
      <c r="P100" s="21"/>
      <c r="Q100" s="19"/>
      <c r="R100" s="19"/>
      <c r="S100" s="21"/>
      <c r="T100" s="21"/>
      <c r="U100" s="21"/>
      <c r="V100" s="21"/>
      <c r="W100" s="21"/>
      <c r="X100" s="21"/>
      <c r="Y100" s="21"/>
      <c r="Z100" s="6"/>
      <c r="AA100" s="6"/>
    </row>
    <row r="101" spans="1:27" s="15" customFormat="1" ht="37.5" x14ac:dyDescent="0.3">
      <c r="A101" s="7">
        <v>100</v>
      </c>
      <c r="B101" s="32" t="s">
        <v>1053</v>
      </c>
      <c r="C101" s="59" t="s">
        <v>976</v>
      </c>
      <c r="D101" s="59" t="e">
        <f>VLOOKUP(I101,#REF!,14,0)</f>
        <v>#REF!</v>
      </c>
      <c r="E101" s="24" t="s">
        <v>135</v>
      </c>
      <c r="F101" s="10" t="s">
        <v>105</v>
      </c>
      <c r="G101" s="10" t="s">
        <v>8</v>
      </c>
      <c r="H101" s="10" t="s">
        <v>80</v>
      </c>
      <c r="I101" s="10" t="s">
        <v>105</v>
      </c>
      <c r="J101" s="10" t="s">
        <v>787</v>
      </c>
      <c r="K101" s="32" t="s">
        <v>1165</v>
      </c>
      <c r="L101" s="69">
        <v>521791</v>
      </c>
      <c r="M101" s="69">
        <v>573199</v>
      </c>
      <c r="N101" s="69">
        <v>678586</v>
      </c>
      <c r="O101" s="17">
        <v>840521</v>
      </c>
      <c r="P101" s="17">
        <v>1226081</v>
      </c>
      <c r="Q101" s="17">
        <v>537214</v>
      </c>
      <c r="R101" s="17">
        <v>747986</v>
      </c>
      <c r="S101" s="17">
        <v>812246</v>
      </c>
      <c r="T101" s="17">
        <v>768550</v>
      </c>
      <c r="U101" s="17">
        <v>1245232</v>
      </c>
      <c r="V101" s="17">
        <v>662224</v>
      </c>
      <c r="W101" s="17">
        <v>630339</v>
      </c>
      <c r="X101" s="17">
        <v>681845</v>
      </c>
      <c r="Y101" s="17">
        <v>804479</v>
      </c>
      <c r="Z101" s="9"/>
      <c r="AA101" s="9"/>
    </row>
    <row r="102" spans="1:27" s="15" customFormat="1" ht="37.5" x14ac:dyDescent="0.3">
      <c r="A102" s="7">
        <v>101</v>
      </c>
      <c r="B102" s="32" t="s">
        <v>1054</v>
      </c>
      <c r="C102" s="59" t="s">
        <v>698</v>
      </c>
      <c r="D102" s="59" t="e">
        <f>VLOOKUP(I102,#REF!,14,0)</f>
        <v>#REF!</v>
      </c>
      <c r="E102" s="24" t="s">
        <v>135</v>
      </c>
      <c r="F102" s="10" t="s">
        <v>106</v>
      </c>
      <c r="G102" s="10" t="s">
        <v>8</v>
      </c>
      <c r="H102" s="10" t="s">
        <v>80</v>
      </c>
      <c r="I102" s="10" t="s">
        <v>106</v>
      </c>
      <c r="J102" s="10" t="s">
        <v>791</v>
      </c>
      <c r="K102" s="32" t="s">
        <v>1166</v>
      </c>
      <c r="L102" s="69">
        <v>971611</v>
      </c>
      <c r="M102" s="69">
        <v>897070</v>
      </c>
      <c r="N102" s="69">
        <v>1061575</v>
      </c>
      <c r="O102" s="17">
        <v>979322</v>
      </c>
      <c r="P102" s="17">
        <v>987034</v>
      </c>
      <c r="Q102" s="17">
        <v>943337</v>
      </c>
      <c r="R102" s="17">
        <v>1534529</v>
      </c>
      <c r="S102" s="17">
        <v>1629634</v>
      </c>
      <c r="T102" s="17">
        <v>948478</v>
      </c>
      <c r="U102" s="17">
        <v>1280747</v>
      </c>
      <c r="V102" s="17">
        <v>1532925</v>
      </c>
      <c r="W102" s="17">
        <v>829006</v>
      </c>
      <c r="X102" s="17">
        <v>708825</v>
      </c>
      <c r="Y102" s="17">
        <v>387523</v>
      </c>
      <c r="Z102" s="9"/>
      <c r="AA102" s="9"/>
    </row>
    <row r="103" spans="1:27" s="3" customFormat="1" ht="37.5" x14ac:dyDescent="0.3">
      <c r="A103" s="7">
        <v>102</v>
      </c>
      <c r="B103" s="20" t="s">
        <v>1052</v>
      </c>
      <c r="C103" s="51" t="s">
        <v>1403</v>
      </c>
      <c r="D103" s="60" t="s">
        <v>1369</v>
      </c>
      <c r="E103" s="29" t="s">
        <v>416</v>
      </c>
      <c r="F103" s="19" t="s">
        <v>104</v>
      </c>
      <c r="G103" s="19" t="s">
        <v>8</v>
      </c>
      <c r="H103" s="19" t="s">
        <v>80</v>
      </c>
      <c r="I103" s="19" t="s">
        <v>104</v>
      </c>
      <c r="J103" s="19" t="s">
        <v>783</v>
      </c>
      <c r="K103" s="20" t="s">
        <v>1164</v>
      </c>
      <c r="L103" s="23">
        <v>606614</v>
      </c>
      <c r="M103" s="23">
        <v>925344</v>
      </c>
      <c r="N103" s="23"/>
      <c r="O103" s="21"/>
      <c r="P103" s="21"/>
      <c r="Q103" s="19"/>
      <c r="R103" s="19"/>
      <c r="S103" s="21"/>
      <c r="T103" s="21"/>
      <c r="U103" s="21"/>
      <c r="V103" s="21"/>
      <c r="W103" s="21"/>
      <c r="X103" s="21"/>
      <c r="Y103" s="21"/>
      <c r="Z103" s="6"/>
      <c r="AA103" s="6"/>
    </row>
    <row r="104" spans="1:27" s="3" customFormat="1" ht="37.5" x14ac:dyDescent="0.3">
      <c r="A104" s="7">
        <v>103</v>
      </c>
      <c r="B104" s="20" t="s">
        <v>1044</v>
      </c>
      <c r="C104" s="60" t="s">
        <v>1409</v>
      </c>
      <c r="D104" s="60" t="s">
        <v>1369</v>
      </c>
      <c r="E104" s="29" t="s">
        <v>416</v>
      </c>
      <c r="F104" s="19" t="s">
        <v>96</v>
      </c>
      <c r="G104" s="19" t="s">
        <v>8</v>
      </c>
      <c r="H104" s="19" t="s">
        <v>80</v>
      </c>
      <c r="I104" s="19" t="s">
        <v>96</v>
      </c>
      <c r="J104" s="19" t="s">
        <v>790</v>
      </c>
      <c r="K104" s="20" t="s">
        <v>1156</v>
      </c>
      <c r="L104" s="23">
        <v>670874</v>
      </c>
      <c r="M104" s="23">
        <v>760838</v>
      </c>
      <c r="N104" s="23"/>
      <c r="O104" s="23"/>
      <c r="P104" s="23"/>
      <c r="Q104" s="20"/>
      <c r="R104" s="20"/>
      <c r="S104" s="21"/>
      <c r="T104" s="21"/>
      <c r="U104" s="21"/>
      <c r="V104" s="21"/>
      <c r="W104" s="21"/>
      <c r="X104" s="21"/>
      <c r="Y104" s="21"/>
      <c r="Z104" s="19"/>
      <c r="AA104" s="22"/>
    </row>
    <row r="105" spans="1:27" s="3" customFormat="1" ht="37.5" x14ac:dyDescent="0.3">
      <c r="A105" s="7">
        <v>104</v>
      </c>
      <c r="B105" s="20" t="s">
        <v>1045</v>
      </c>
      <c r="C105" s="60" t="s">
        <v>1393</v>
      </c>
      <c r="D105" s="60" t="s">
        <v>1369</v>
      </c>
      <c r="E105" s="29" t="s">
        <v>416</v>
      </c>
      <c r="F105" s="19" t="s">
        <v>97</v>
      </c>
      <c r="G105" s="19" t="s">
        <v>8</v>
      </c>
      <c r="H105" s="19" t="s">
        <v>80</v>
      </c>
      <c r="I105" s="19" t="s">
        <v>97</v>
      </c>
      <c r="J105" s="19" t="s">
        <v>799</v>
      </c>
      <c r="K105" s="20" t="s">
        <v>1157</v>
      </c>
      <c r="L105" s="23">
        <v>912492</v>
      </c>
      <c r="M105" s="23">
        <v>1017878</v>
      </c>
      <c r="N105" s="23"/>
      <c r="O105" s="23"/>
      <c r="P105" s="23"/>
      <c r="Q105" s="20"/>
      <c r="R105" s="20"/>
      <c r="S105" s="21"/>
      <c r="T105" s="21"/>
      <c r="U105" s="21"/>
      <c r="V105" s="21"/>
      <c r="W105" s="21"/>
      <c r="X105" s="21"/>
      <c r="Y105" s="21"/>
      <c r="Z105" s="19"/>
      <c r="AA105" s="22"/>
    </row>
    <row r="106" spans="1:27" s="3" customFormat="1" ht="37.5" x14ac:dyDescent="0.3">
      <c r="A106" s="7">
        <v>105</v>
      </c>
      <c r="B106" s="20" t="s">
        <v>1036</v>
      </c>
      <c r="C106" s="51" t="s">
        <v>1370</v>
      </c>
      <c r="D106" s="51" t="s">
        <v>1369</v>
      </c>
      <c r="E106" s="29" t="s">
        <v>416</v>
      </c>
      <c r="F106" s="19" t="s">
        <v>107</v>
      </c>
      <c r="G106" s="19" t="s">
        <v>8</v>
      </c>
      <c r="H106" s="19" t="s">
        <v>80</v>
      </c>
      <c r="I106" s="19" t="s">
        <v>107</v>
      </c>
      <c r="J106" s="19" t="s">
        <v>798</v>
      </c>
      <c r="K106" s="20" t="s">
        <v>1148</v>
      </c>
      <c r="L106" s="23">
        <v>370138</v>
      </c>
      <c r="M106" s="23">
        <v>490946</v>
      </c>
      <c r="N106" s="23"/>
      <c r="O106" s="21"/>
      <c r="P106" s="21"/>
      <c r="Q106" s="19"/>
      <c r="R106" s="19"/>
      <c r="S106" s="21"/>
      <c r="T106" s="21"/>
      <c r="U106" s="21"/>
      <c r="V106" s="21"/>
      <c r="W106" s="21"/>
      <c r="X106" s="21"/>
      <c r="Y106" s="21"/>
      <c r="Z106" s="6"/>
      <c r="AA106" s="6"/>
    </row>
    <row r="107" spans="1:27" s="14" customFormat="1" ht="37.5" x14ac:dyDescent="0.3">
      <c r="A107" s="7">
        <v>106</v>
      </c>
      <c r="B107" s="20" t="s">
        <v>1038</v>
      </c>
      <c r="C107" s="66" t="s">
        <v>1395</v>
      </c>
      <c r="D107" s="51" t="s">
        <v>1369</v>
      </c>
      <c r="E107" s="29" t="s">
        <v>416</v>
      </c>
      <c r="F107" s="19" t="s">
        <v>108</v>
      </c>
      <c r="G107" s="19" t="s">
        <v>8</v>
      </c>
      <c r="H107" s="19" t="s">
        <v>80</v>
      </c>
      <c r="I107" s="19" t="s">
        <v>108</v>
      </c>
      <c r="J107" s="19" t="s">
        <v>765</v>
      </c>
      <c r="K107" s="20" t="s">
        <v>1150</v>
      </c>
      <c r="L107" s="23">
        <v>943337</v>
      </c>
      <c r="M107" s="23">
        <v>1130976</v>
      </c>
      <c r="N107" s="23"/>
      <c r="O107" s="94"/>
      <c r="P107" s="94"/>
      <c r="Q107" s="29"/>
      <c r="R107" s="29"/>
      <c r="S107" s="21"/>
      <c r="T107" s="21"/>
      <c r="U107" s="21"/>
      <c r="V107" s="21"/>
      <c r="W107" s="21"/>
      <c r="X107" s="21"/>
      <c r="Y107" s="21"/>
      <c r="Z107" s="30"/>
      <c r="AA107" s="30"/>
    </row>
    <row r="108" spans="1:27" s="84" customFormat="1" ht="37.5" x14ac:dyDescent="0.25">
      <c r="A108" s="7">
        <v>107</v>
      </c>
      <c r="B108" s="75" t="s">
        <v>68</v>
      </c>
      <c r="C108" s="77" t="e">
        <f>VLOOKUP(I108,#REF!,7,0)</f>
        <v>#REF!</v>
      </c>
      <c r="D108" s="86" t="e">
        <f>VLOOKUP(I108,#REF!,14,0)</f>
        <v>#REF!</v>
      </c>
      <c r="E108" s="24" t="s">
        <v>135</v>
      </c>
      <c r="F108" s="76" t="s">
        <v>15</v>
      </c>
      <c r="G108" s="74" t="s">
        <v>8</v>
      </c>
      <c r="H108" s="74" t="s">
        <v>16</v>
      </c>
      <c r="I108" s="86" t="s">
        <v>15</v>
      </c>
      <c r="J108" s="76" t="s">
        <v>830</v>
      </c>
      <c r="K108" s="75" t="s">
        <v>1429</v>
      </c>
      <c r="L108" s="69">
        <v>1664928</v>
      </c>
      <c r="M108" s="69">
        <v>1131516</v>
      </c>
      <c r="N108" s="69">
        <v>1597666</v>
      </c>
      <c r="O108" s="69">
        <v>1369721</v>
      </c>
      <c r="P108" s="69">
        <v>1597666</v>
      </c>
      <c r="Q108" s="69">
        <v>1448194</v>
      </c>
      <c r="R108" s="69">
        <v>1870452</v>
      </c>
      <c r="S108" s="69">
        <v>1410826</v>
      </c>
      <c r="T108" s="69">
        <v>1410826</v>
      </c>
      <c r="U108" s="69">
        <v>2365605</v>
      </c>
      <c r="V108" s="69">
        <v>2505205</v>
      </c>
      <c r="W108" s="69">
        <v>2737005</v>
      </c>
      <c r="X108" s="69">
        <v>1770576</v>
      </c>
      <c r="Y108" s="69">
        <v>1631496</v>
      </c>
      <c r="Z108" s="74">
        <v>14249541</v>
      </c>
      <c r="AA108" s="79"/>
    </row>
    <row r="109" spans="1:27" s="80" customFormat="1" ht="37.5" x14ac:dyDescent="0.3">
      <c r="A109" s="7">
        <v>108</v>
      </c>
      <c r="B109" s="75" t="s">
        <v>68</v>
      </c>
      <c r="C109" s="74"/>
      <c r="D109" s="89"/>
      <c r="E109" s="24" t="s">
        <v>135</v>
      </c>
      <c r="F109" s="74" t="s">
        <v>74</v>
      </c>
      <c r="G109" s="74" t="s">
        <v>8</v>
      </c>
      <c r="H109" s="74" t="s">
        <v>32</v>
      </c>
      <c r="I109" s="74" t="s">
        <v>74</v>
      </c>
      <c r="J109" s="74"/>
      <c r="K109" s="75" t="s">
        <v>1434</v>
      </c>
      <c r="L109" s="76" t="s">
        <v>1417</v>
      </c>
      <c r="M109" s="76" t="s">
        <v>1417</v>
      </c>
      <c r="N109" s="76" t="s">
        <v>1417</v>
      </c>
      <c r="O109" s="78" t="s">
        <v>1417</v>
      </c>
      <c r="P109" s="78" t="s">
        <v>1417</v>
      </c>
      <c r="Q109" s="74" t="s">
        <v>1417</v>
      </c>
      <c r="R109" s="74" t="s">
        <v>1417</v>
      </c>
      <c r="S109" s="78" t="s">
        <v>1417</v>
      </c>
      <c r="T109" s="78" t="s">
        <v>1417</v>
      </c>
      <c r="U109" s="78" t="s">
        <v>1417</v>
      </c>
      <c r="V109" s="78" t="s">
        <v>1417</v>
      </c>
      <c r="W109" s="17">
        <v>5757739</v>
      </c>
      <c r="X109" s="78" t="s">
        <v>1417</v>
      </c>
      <c r="Y109" s="78" t="s">
        <v>1417</v>
      </c>
      <c r="Z109" s="74"/>
      <c r="AA109" s="79"/>
    </row>
    <row r="110" spans="1:27" s="80" customFormat="1" ht="37.5" x14ac:dyDescent="0.3">
      <c r="A110" s="7">
        <v>109</v>
      </c>
      <c r="B110" s="75" t="s">
        <v>71</v>
      </c>
      <c r="C110" s="75"/>
      <c r="D110" s="90"/>
      <c r="E110" s="24" t="s">
        <v>135</v>
      </c>
      <c r="F110" s="74" t="s">
        <v>75</v>
      </c>
      <c r="G110" s="74" t="s">
        <v>8</v>
      </c>
      <c r="H110" s="74" t="s">
        <v>32</v>
      </c>
      <c r="I110" s="74" t="s">
        <v>75</v>
      </c>
      <c r="J110" s="74"/>
      <c r="K110" s="75" t="s">
        <v>1435</v>
      </c>
      <c r="L110" s="69">
        <v>605828</v>
      </c>
      <c r="M110" s="69">
        <v>692375</v>
      </c>
      <c r="N110" s="69">
        <v>649102</v>
      </c>
      <c r="O110" s="69">
        <v>646698</v>
      </c>
      <c r="P110" s="69">
        <v>675546</v>
      </c>
      <c r="Q110" s="12">
        <v>651506</v>
      </c>
      <c r="R110" s="12">
        <v>670738</v>
      </c>
      <c r="S110" s="17">
        <v>673142</v>
      </c>
      <c r="T110" s="17">
        <v>649102</v>
      </c>
      <c r="U110" s="17">
        <v>665632</v>
      </c>
      <c r="V110" s="17">
        <v>573480</v>
      </c>
      <c r="W110" s="17">
        <v>2041589</v>
      </c>
      <c r="X110" s="78" t="s">
        <v>1417</v>
      </c>
      <c r="Y110" s="78" t="s">
        <v>1417</v>
      </c>
      <c r="Z110" s="74"/>
      <c r="AA110" s="79"/>
    </row>
    <row r="111" spans="1:27" s="80" customFormat="1" ht="37.5" x14ac:dyDescent="0.3">
      <c r="A111" s="7">
        <v>110</v>
      </c>
      <c r="B111" s="75" t="s">
        <v>68</v>
      </c>
      <c r="C111" s="75"/>
      <c r="D111" s="90"/>
      <c r="E111" s="24" t="s">
        <v>135</v>
      </c>
      <c r="F111" s="74" t="s">
        <v>77</v>
      </c>
      <c r="G111" s="74" t="s">
        <v>8</v>
      </c>
      <c r="H111" s="74" t="s">
        <v>32</v>
      </c>
      <c r="I111" s="74" t="s">
        <v>77</v>
      </c>
      <c r="J111" s="74"/>
      <c r="K111" s="75" t="s">
        <v>1436</v>
      </c>
      <c r="L111" s="69">
        <v>1480913</v>
      </c>
      <c r="M111" s="69">
        <v>1500146</v>
      </c>
      <c r="N111" s="69">
        <v>1528995</v>
      </c>
      <c r="O111" s="69">
        <v>1528995</v>
      </c>
      <c r="P111" s="69">
        <v>3118092</v>
      </c>
      <c r="Q111" s="12" t="s">
        <v>1417</v>
      </c>
      <c r="R111" s="12">
        <v>1581885</v>
      </c>
      <c r="S111" s="17">
        <v>1586693</v>
      </c>
      <c r="T111" s="17">
        <v>1528995</v>
      </c>
      <c r="U111" s="17">
        <v>1563339</v>
      </c>
      <c r="V111" s="17">
        <v>1500224</v>
      </c>
      <c r="W111" s="17">
        <v>1573629</v>
      </c>
      <c r="X111" s="17">
        <v>1422230</v>
      </c>
      <c r="Y111" s="17">
        <v>1465815</v>
      </c>
      <c r="Z111" s="74"/>
      <c r="AA111" s="79"/>
    </row>
    <row r="112" spans="1:27" s="80" customFormat="1" ht="37.5" x14ac:dyDescent="0.3">
      <c r="A112" s="7">
        <v>111</v>
      </c>
      <c r="B112" s="75" t="s">
        <v>68</v>
      </c>
      <c r="C112" s="75"/>
      <c r="D112" s="90"/>
      <c r="E112" s="24" t="s">
        <v>135</v>
      </c>
      <c r="F112" s="74" t="s">
        <v>78</v>
      </c>
      <c r="G112" s="74" t="s">
        <v>8</v>
      </c>
      <c r="H112" s="74" t="s">
        <v>32</v>
      </c>
      <c r="I112" s="74" t="s">
        <v>78</v>
      </c>
      <c r="J112" s="74"/>
      <c r="K112" s="75" t="s">
        <v>1437</v>
      </c>
      <c r="L112" s="69">
        <v>471200</v>
      </c>
      <c r="M112" s="69">
        <v>598616</v>
      </c>
      <c r="N112" s="69">
        <v>572171</v>
      </c>
      <c r="O112" s="69">
        <v>694779</v>
      </c>
      <c r="P112" s="69">
        <v>579383</v>
      </c>
      <c r="Q112" s="12">
        <v>709204</v>
      </c>
      <c r="R112" s="12">
        <v>824599</v>
      </c>
      <c r="S112" s="17">
        <v>793346</v>
      </c>
      <c r="T112" s="17">
        <v>704395</v>
      </c>
      <c r="U112" s="17">
        <v>681469</v>
      </c>
      <c r="V112" s="17">
        <v>472548</v>
      </c>
      <c r="W112" s="17">
        <v>399142</v>
      </c>
      <c r="X112" s="17">
        <v>133047</v>
      </c>
      <c r="Y112" s="78" t="s">
        <v>1417</v>
      </c>
      <c r="Z112" s="74"/>
      <c r="AA112" s="79"/>
    </row>
    <row r="113" spans="1:27" s="80" customFormat="1" ht="37.5" x14ac:dyDescent="0.3">
      <c r="A113" s="7">
        <v>112</v>
      </c>
      <c r="B113" s="75" t="s">
        <v>71</v>
      </c>
      <c r="C113" s="88" t="s">
        <v>694</v>
      </c>
      <c r="D113" s="101" t="e">
        <f>VLOOKUP(I113,#REF!,14,0)</f>
        <v>#REF!</v>
      </c>
      <c r="E113" s="8" t="s">
        <v>135</v>
      </c>
      <c r="F113" s="74" t="s">
        <v>80</v>
      </c>
      <c r="G113" s="74" t="s">
        <v>8</v>
      </c>
      <c r="H113" s="74"/>
      <c r="I113" s="74" t="s">
        <v>73</v>
      </c>
      <c r="J113" s="74" t="s">
        <v>831</v>
      </c>
      <c r="K113" s="75" t="s">
        <v>1244</v>
      </c>
      <c r="L113" s="76" t="s">
        <v>1416</v>
      </c>
      <c r="M113" s="76" t="s">
        <v>1416</v>
      </c>
      <c r="N113" s="76" t="s">
        <v>1416</v>
      </c>
      <c r="O113" s="78"/>
      <c r="P113" s="78"/>
      <c r="Q113" s="78">
        <v>546108</v>
      </c>
      <c r="R113" s="78">
        <v>617341</v>
      </c>
      <c r="S113" s="78">
        <v>733903</v>
      </c>
      <c r="T113" s="78">
        <v>107136</v>
      </c>
      <c r="U113" s="78">
        <v>0</v>
      </c>
      <c r="V113" s="78">
        <v>163484</v>
      </c>
      <c r="W113" s="78">
        <v>59289</v>
      </c>
      <c r="X113" s="78"/>
      <c r="Y113" s="78"/>
      <c r="Z113" s="74"/>
      <c r="AA113" s="79"/>
    </row>
    <row r="114" spans="1:27" s="80" customFormat="1" ht="37.5" x14ac:dyDescent="0.3">
      <c r="A114" s="7">
        <v>113</v>
      </c>
      <c r="B114" s="75" t="s">
        <v>68</v>
      </c>
      <c r="C114" s="75"/>
      <c r="D114" s="90"/>
      <c r="E114" s="24" t="s">
        <v>135</v>
      </c>
      <c r="F114" s="74" t="s">
        <v>76</v>
      </c>
      <c r="G114" s="74" t="s">
        <v>8</v>
      </c>
      <c r="H114" s="74" t="s">
        <v>32</v>
      </c>
      <c r="I114" s="74" t="s">
        <v>76</v>
      </c>
      <c r="J114" s="74"/>
      <c r="K114" s="75" t="s">
        <v>1438</v>
      </c>
      <c r="L114" s="69">
        <v>1141938</v>
      </c>
      <c r="M114" s="69">
        <v>2610831</v>
      </c>
      <c r="N114" s="69">
        <v>2413696</v>
      </c>
      <c r="O114" s="69">
        <v>1959325</v>
      </c>
      <c r="P114" s="69">
        <v>2209350</v>
      </c>
      <c r="Q114" s="12">
        <v>584191</v>
      </c>
      <c r="R114" s="12">
        <v>437543</v>
      </c>
      <c r="S114" s="17">
        <v>439947</v>
      </c>
      <c r="T114" s="17">
        <v>423118</v>
      </c>
      <c r="U114" s="17">
        <v>638306</v>
      </c>
      <c r="V114" s="17">
        <v>607889</v>
      </c>
      <c r="W114" s="17">
        <v>699646</v>
      </c>
      <c r="X114" s="17">
        <v>658355</v>
      </c>
      <c r="Y114" s="17">
        <v>683588</v>
      </c>
      <c r="Z114" s="74"/>
      <c r="AA114" s="79"/>
    </row>
    <row r="115" spans="1:27" s="80" customFormat="1" ht="38.25" customHeight="1" x14ac:dyDescent="0.3">
      <c r="A115" s="7">
        <v>114</v>
      </c>
      <c r="B115" s="75" t="s">
        <v>68</v>
      </c>
      <c r="C115" s="110" t="s">
        <v>134</v>
      </c>
      <c r="D115" s="110"/>
      <c r="E115" s="24" t="s">
        <v>135</v>
      </c>
      <c r="F115" s="74" t="s">
        <v>133</v>
      </c>
      <c r="G115" s="74" t="s">
        <v>8</v>
      </c>
      <c r="H115" s="74" t="s">
        <v>16</v>
      </c>
      <c r="I115" s="74" t="s">
        <v>133</v>
      </c>
      <c r="J115" s="74" t="s">
        <v>1419</v>
      </c>
      <c r="K115" s="75" t="s">
        <v>1432</v>
      </c>
      <c r="L115" s="69">
        <v>3989676</v>
      </c>
      <c r="M115" s="69">
        <v>4547958</v>
      </c>
      <c r="N115" s="69">
        <v>5838134</v>
      </c>
      <c r="O115" s="17">
        <v>5497718</v>
      </c>
      <c r="P115" s="17">
        <v>6958103</v>
      </c>
      <c r="Q115" s="7">
        <v>6852574</v>
      </c>
      <c r="R115" s="7">
        <v>7659360</v>
      </c>
      <c r="S115" s="7">
        <v>7414260</v>
      </c>
      <c r="T115" s="7">
        <v>7026186</v>
      </c>
      <c r="U115" s="7">
        <v>7739896</v>
      </c>
      <c r="V115" s="7">
        <v>7277782</v>
      </c>
      <c r="W115" s="17">
        <v>6819876</v>
      </c>
      <c r="X115" s="17">
        <v>5264295</v>
      </c>
      <c r="Y115" s="17">
        <v>5504614</v>
      </c>
      <c r="Z115" s="74"/>
      <c r="AA115" s="79"/>
    </row>
    <row r="116" spans="1:27" s="3" customFormat="1" ht="37.5" x14ac:dyDescent="0.3">
      <c r="A116" s="7">
        <v>115</v>
      </c>
      <c r="B116" s="20" t="s">
        <v>68</v>
      </c>
      <c r="C116" s="51" t="s">
        <v>1362</v>
      </c>
      <c r="D116" s="34" t="e">
        <f>VLOOKUP(I116,#REF!,14,0)</f>
        <v>#REF!</v>
      </c>
      <c r="E116" s="20" t="s">
        <v>1456</v>
      </c>
      <c r="F116" s="19" t="s">
        <v>141</v>
      </c>
      <c r="G116" s="19" t="s">
        <v>8</v>
      </c>
      <c r="H116" s="19" t="s">
        <v>193</v>
      </c>
      <c r="I116" s="19" t="s">
        <v>141</v>
      </c>
      <c r="J116" s="19" t="s">
        <v>840</v>
      </c>
      <c r="K116" s="20" t="s">
        <v>1245</v>
      </c>
      <c r="L116" s="23">
        <v>1530403</v>
      </c>
      <c r="M116" s="23">
        <v>2135765</v>
      </c>
      <c r="N116" s="23">
        <v>2135765</v>
      </c>
      <c r="O116" s="21">
        <v>2221711</v>
      </c>
      <c r="P116" s="21">
        <v>2599128</v>
      </c>
      <c r="Q116" s="21">
        <v>2808389</v>
      </c>
      <c r="R116" s="21">
        <v>4090111</v>
      </c>
      <c r="S116" s="21">
        <v>4220899</v>
      </c>
      <c r="T116" s="21">
        <v>3817325</v>
      </c>
      <c r="U116" s="21">
        <v>4437872</v>
      </c>
      <c r="V116" s="21">
        <v>3928103</v>
      </c>
      <c r="W116" s="21">
        <v>3489465</v>
      </c>
      <c r="X116" s="21">
        <v>1581569</v>
      </c>
      <c r="Y116" s="21">
        <v>1460320</v>
      </c>
      <c r="Z116" s="100">
        <v>231200117595</v>
      </c>
      <c r="AA116" s="19"/>
    </row>
    <row r="117" spans="1:27" s="3" customFormat="1" ht="37.5" x14ac:dyDescent="0.3">
      <c r="A117" s="7">
        <v>116</v>
      </c>
      <c r="B117" s="20" t="s">
        <v>68</v>
      </c>
      <c r="C117" s="51" t="s">
        <v>1003</v>
      </c>
      <c r="D117" s="34" t="e">
        <f>VLOOKUP(I117,#REF!,14,0)</f>
        <v>#REF!</v>
      </c>
      <c r="E117" s="20" t="s">
        <v>1456</v>
      </c>
      <c r="F117" s="19" t="s">
        <v>137</v>
      </c>
      <c r="G117" s="19" t="s">
        <v>8</v>
      </c>
      <c r="H117" s="19" t="s">
        <v>193</v>
      </c>
      <c r="I117" s="19" t="s">
        <v>137</v>
      </c>
      <c r="J117" s="19" t="s">
        <v>893</v>
      </c>
      <c r="K117" s="20" t="s">
        <v>1246</v>
      </c>
      <c r="L117" s="23">
        <v>714476</v>
      </c>
      <c r="M117" s="23">
        <v>1160460</v>
      </c>
      <c r="N117" s="23">
        <v>1160460</v>
      </c>
      <c r="O117" s="21">
        <v>2333815</v>
      </c>
      <c r="P117" s="21">
        <v>2292710</v>
      </c>
      <c r="Q117" s="21">
        <v>1687349</v>
      </c>
      <c r="R117" s="21">
        <v>3032597</v>
      </c>
      <c r="S117" s="21">
        <v>3297910</v>
      </c>
      <c r="T117" s="21">
        <v>2875651</v>
      </c>
      <c r="U117" s="21">
        <v>3423733</v>
      </c>
      <c r="V117" s="21">
        <v>2159287</v>
      </c>
      <c r="W117" s="21">
        <v>1207122</v>
      </c>
      <c r="X117" s="21">
        <v>136022</v>
      </c>
      <c r="Y117" s="21"/>
      <c r="Z117" s="100">
        <v>231200117598</v>
      </c>
      <c r="AA117" s="19"/>
    </row>
    <row r="118" spans="1:27" s="15" customFormat="1" ht="37.5" x14ac:dyDescent="0.3">
      <c r="A118" s="7">
        <v>117</v>
      </c>
      <c r="B118" s="32" t="s">
        <v>68</v>
      </c>
      <c r="C118" s="59" t="s">
        <v>1365</v>
      </c>
      <c r="D118" s="98" t="s">
        <v>1367</v>
      </c>
      <c r="E118" s="8" t="s">
        <v>135</v>
      </c>
      <c r="F118" s="10" t="s">
        <v>138</v>
      </c>
      <c r="G118" s="10" t="s">
        <v>8</v>
      </c>
      <c r="H118" s="10" t="s">
        <v>193</v>
      </c>
      <c r="I118" s="10" t="s">
        <v>138</v>
      </c>
      <c r="J118" s="10" t="s">
        <v>879</v>
      </c>
      <c r="K118" s="32" t="s">
        <v>1247</v>
      </c>
      <c r="L118" s="68">
        <v>0</v>
      </c>
      <c r="M118" s="68">
        <v>0</v>
      </c>
      <c r="N118" s="68">
        <v>0</v>
      </c>
      <c r="O118" s="35">
        <v>665909</v>
      </c>
      <c r="P118" s="35">
        <v>932526</v>
      </c>
      <c r="Q118" s="35">
        <v>852930</v>
      </c>
      <c r="R118" s="35">
        <v>899964</v>
      </c>
      <c r="S118" s="35">
        <v>753330</v>
      </c>
      <c r="T118" s="35">
        <v>766282</v>
      </c>
      <c r="U118" s="35">
        <v>991509</v>
      </c>
      <c r="V118" s="35">
        <v>920821</v>
      </c>
      <c r="W118" s="35">
        <v>1090006</v>
      </c>
      <c r="X118" s="35">
        <v>576666</v>
      </c>
      <c r="Y118" s="35">
        <v>530334</v>
      </c>
      <c r="Z118" s="99">
        <v>231200117599</v>
      </c>
      <c r="AA118" s="10"/>
    </row>
    <row r="119" spans="1:27" s="3" customFormat="1" ht="37.5" x14ac:dyDescent="0.3">
      <c r="A119" s="7">
        <v>118</v>
      </c>
      <c r="B119" s="20" t="s">
        <v>68</v>
      </c>
      <c r="C119" s="51" t="s">
        <v>1001</v>
      </c>
      <c r="D119" s="34" t="e">
        <f>VLOOKUP(I119,#REF!,14,0)</f>
        <v>#REF!</v>
      </c>
      <c r="E119" s="20" t="s">
        <v>1456</v>
      </c>
      <c r="F119" s="19" t="s">
        <v>139</v>
      </c>
      <c r="G119" s="19" t="s">
        <v>8</v>
      </c>
      <c r="H119" s="19" t="s">
        <v>193</v>
      </c>
      <c r="I119" s="19" t="s">
        <v>139</v>
      </c>
      <c r="J119" s="19" t="s">
        <v>832</v>
      </c>
      <c r="K119" s="20" t="s">
        <v>1248</v>
      </c>
      <c r="L119" s="23">
        <v>1392142</v>
      </c>
      <c r="M119" s="23">
        <v>2445919</v>
      </c>
      <c r="N119" s="23">
        <v>2445919</v>
      </c>
      <c r="O119" s="21">
        <v>2797178</v>
      </c>
      <c r="P119" s="21">
        <v>3593117</v>
      </c>
      <c r="Q119" s="21">
        <v>3174595</v>
      </c>
      <c r="R119" s="21">
        <v>3880850</v>
      </c>
      <c r="S119" s="21">
        <v>4015375</v>
      </c>
      <c r="T119" s="21">
        <v>3585643</v>
      </c>
      <c r="U119" s="21">
        <v>4013771</v>
      </c>
      <c r="V119" s="21">
        <v>2473109</v>
      </c>
      <c r="W119" s="21">
        <v>2398220</v>
      </c>
      <c r="X119" s="21">
        <v>1221387</v>
      </c>
      <c r="Y119" s="21">
        <v>820691</v>
      </c>
      <c r="Z119" s="100">
        <v>231200117600</v>
      </c>
      <c r="AA119" s="19"/>
    </row>
    <row r="120" spans="1:27" s="3" customFormat="1" ht="37.5" x14ac:dyDescent="0.3">
      <c r="A120" s="7">
        <v>119</v>
      </c>
      <c r="B120" s="20" t="s">
        <v>68</v>
      </c>
      <c r="C120" s="51" t="s">
        <v>1000</v>
      </c>
      <c r="D120" s="34" t="e">
        <f>VLOOKUP(I120,#REF!,14,0)</f>
        <v>#REF!</v>
      </c>
      <c r="E120" s="20" t="s">
        <v>1456</v>
      </c>
      <c r="F120" s="19" t="s">
        <v>140</v>
      </c>
      <c r="G120" s="19" t="s">
        <v>8</v>
      </c>
      <c r="H120" s="19" t="s">
        <v>193</v>
      </c>
      <c r="I120" s="19" t="s">
        <v>140</v>
      </c>
      <c r="J120" s="19" t="s">
        <v>886</v>
      </c>
      <c r="K120" s="20" t="s">
        <v>1249</v>
      </c>
      <c r="L120" s="23">
        <v>1377194</v>
      </c>
      <c r="M120" s="23">
        <v>2729916</v>
      </c>
      <c r="N120" s="23">
        <v>2729916</v>
      </c>
      <c r="O120" s="21">
        <v>3081175</v>
      </c>
      <c r="P120" s="21">
        <v>3395066</v>
      </c>
      <c r="Q120" s="21">
        <v>3058754</v>
      </c>
      <c r="R120" s="21">
        <v>3798641</v>
      </c>
      <c r="S120" s="21">
        <v>4508633</v>
      </c>
      <c r="T120" s="21">
        <v>2442182</v>
      </c>
      <c r="U120" s="21">
        <v>25418</v>
      </c>
      <c r="V120" s="21">
        <v>57244</v>
      </c>
      <c r="W120" s="21">
        <v>8178</v>
      </c>
      <c r="X120" s="21"/>
      <c r="Y120" s="21"/>
      <c r="Z120" s="100">
        <v>231200117593</v>
      </c>
      <c r="AA120" s="19"/>
    </row>
    <row r="121" spans="1:27" s="3" customFormat="1" ht="37.5" x14ac:dyDescent="0.3">
      <c r="A121" s="7">
        <v>120</v>
      </c>
      <c r="B121" s="20" t="s">
        <v>68</v>
      </c>
      <c r="C121" s="51" t="s">
        <v>1002</v>
      </c>
      <c r="D121" s="34" t="e">
        <f>VLOOKUP(I121,#REF!,14,0)</f>
        <v>#REF!</v>
      </c>
      <c r="E121" s="20" t="s">
        <v>1456</v>
      </c>
      <c r="F121" s="19" t="s">
        <v>142</v>
      </c>
      <c r="G121" s="19" t="s">
        <v>8</v>
      </c>
      <c r="H121" s="19" t="s">
        <v>193</v>
      </c>
      <c r="I121" s="19" t="s">
        <v>142</v>
      </c>
      <c r="J121" s="19" t="s">
        <v>847</v>
      </c>
      <c r="K121" s="20" t="s">
        <v>1250</v>
      </c>
      <c r="L121" s="23">
        <v>3776220</v>
      </c>
      <c r="M121" s="23">
        <v>7030973</v>
      </c>
      <c r="N121" s="23">
        <v>7030973</v>
      </c>
      <c r="O121" s="21">
        <v>6448032</v>
      </c>
      <c r="P121" s="21">
        <v>7479389</v>
      </c>
      <c r="Q121" s="21">
        <v>6380770</v>
      </c>
      <c r="R121" s="21">
        <v>7520494</v>
      </c>
      <c r="S121" s="21">
        <v>8805953</v>
      </c>
      <c r="T121" s="21">
        <v>6552662</v>
      </c>
      <c r="U121" s="21">
        <v>6546996</v>
      </c>
      <c r="V121" s="21">
        <v>5333170</v>
      </c>
      <c r="W121" s="21">
        <v>6181916</v>
      </c>
      <c r="X121" s="21">
        <v>3132849</v>
      </c>
      <c r="Y121" s="21">
        <v>2252007</v>
      </c>
      <c r="Z121" s="100">
        <v>231200117596</v>
      </c>
      <c r="AA121" s="19"/>
    </row>
    <row r="122" spans="1:27" s="3" customFormat="1" ht="37.5" x14ac:dyDescent="0.3">
      <c r="A122" s="7">
        <v>121</v>
      </c>
      <c r="B122" s="20" t="s">
        <v>68</v>
      </c>
      <c r="C122" s="52" t="e">
        <f>VLOOKUP(I122,#REF!,7,0)</f>
        <v>#REF!</v>
      </c>
      <c r="D122" s="40" t="e">
        <f>VLOOKUP(I122,#REF!,14,0)</f>
        <v>#REF!</v>
      </c>
      <c r="E122" s="20" t="s">
        <v>1455</v>
      </c>
      <c r="F122" s="19" t="s">
        <v>136</v>
      </c>
      <c r="G122" s="19" t="s">
        <v>8</v>
      </c>
      <c r="H122" s="19" t="s">
        <v>193</v>
      </c>
      <c r="I122" s="19" t="s">
        <v>136</v>
      </c>
      <c r="J122" s="19" t="s">
        <v>873</v>
      </c>
      <c r="K122" s="20" t="s">
        <v>1251</v>
      </c>
      <c r="L122" s="23">
        <v>1095336</v>
      </c>
      <c r="M122" s="23">
        <v>1026594</v>
      </c>
      <c r="N122" s="23">
        <v>1026594</v>
      </c>
      <c r="O122" s="21">
        <v>1022976</v>
      </c>
      <c r="P122" s="21">
        <v>1084482</v>
      </c>
      <c r="Q122" s="21">
        <v>856548</v>
      </c>
      <c r="R122" s="21">
        <v>1153224</v>
      </c>
      <c r="S122" s="21">
        <v>1164197</v>
      </c>
      <c r="T122" s="21">
        <v>972324</v>
      </c>
      <c r="U122" s="21">
        <v>1130793</v>
      </c>
      <c r="V122" s="21">
        <v>1524511</v>
      </c>
      <c r="W122" s="21">
        <v>1492415</v>
      </c>
      <c r="X122" s="21">
        <v>900104</v>
      </c>
      <c r="Y122" s="21">
        <v>761994</v>
      </c>
      <c r="Z122" s="100">
        <v>231200117594</v>
      </c>
      <c r="AA122" s="19"/>
    </row>
    <row r="123" spans="1:27" s="3" customFormat="1" ht="37.5" x14ac:dyDescent="0.3">
      <c r="A123" s="7">
        <v>122</v>
      </c>
      <c r="B123" s="20" t="s">
        <v>68</v>
      </c>
      <c r="C123" s="51" t="s">
        <v>1335</v>
      </c>
      <c r="D123" s="34" t="e">
        <f>VLOOKUP(I123,#REF!,14,0)</f>
        <v>#REF!</v>
      </c>
      <c r="E123" s="29" t="s">
        <v>416</v>
      </c>
      <c r="F123" s="19" t="s">
        <v>143</v>
      </c>
      <c r="G123" s="19" t="s">
        <v>8</v>
      </c>
      <c r="H123" s="19" t="s">
        <v>143</v>
      </c>
      <c r="I123" s="34" t="s">
        <v>143</v>
      </c>
      <c r="J123" s="19" t="s">
        <v>959</v>
      </c>
      <c r="K123" s="20" t="s">
        <v>1189</v>
      </c>
      <c r="L123" s="23">
        <v>747986</v>
      </c>
      <c r="M123" s="23">
        <v>938196</v>
      </c>
      <c r="N123" s="23"/>
      <c r="O123" s="21"/>
      <c r="P123" s="21"/>
      <c r="Q123" s="19"/>
      <c r="R123" s="19"/>
      <c r="S123" s="21"/>
      <c r="T123" s="21"/>
      <c r="U123" s="21"/>
      <c r="V123" s="21"/>
      <c r="W123" s="21"/>
      <c r="X123" s="21"/>
      <c r="Y123" s="21"/>
      <c r="Z123" s="33">
        <v>231200117370</v>
      </c>
      <c r="AA123" s="19" t="s">
        <v>168</v>
      </c>
    </row>
    <row r="124" spans="1:27" s="3" customFormat="1" ht="37.5" x14ac:dyDescent="0.3">
      <c r="A124" s="7">
        <v>123</v>
      </c>
      <c r="B124" s="20" t="s">
        <v>68</v>
      </c>
      <c r="C124" s="51" t="s">
        <v>1345</v>
      </c>
      <c r="D124" s="34" t="e">
        <f>VLOOKUP(I124,#REF!,14,0)</f>
        <v>#REF!</v>
      </c>
      <c r="E124" s="29" t="s">
        <v>416</v>
      </c>
      <c r="F124" s="19" t="s">
        <v>144</v>
      </c>
      <c r="G124" s="19" t="s">
        <v>8</v>
      </c>
      <c r="H124" s="19" t="s">
        <v>143</v>
      </c>
      <c r="I124" s="19" t="s">
        <v>144</v>
      </c>
      <c r="J124" s="19" t="s">
        <v>952</v>
      </c>
      <c r="K124" s="20" t="s">
        <v>1190</v>
      </c>
      <c r="L124" s="23">
        <v>899640</v>
      </c>
      <c r="M124" s="23">
        <v>1511395</v>
      </c>
      <c r="N124" s="23"/>
      <c r="O124" s="21"/>
      <c r="P124" s="21"/>
      <c r="Q124" s="19"/>
      <c r="R124" s="19"/>
      <c r="S124" s="21"/>
      <c r="T124" s="21"/>
      <c r="U124" s="21"/>
      <c r="V124" s="21"/>
      <c r="W124" s="21"/>
      <c r="X124" s="21"/>
      <c r="Y124" s="21"/>
      <c r="Z124" s="33">
        <v>231200117361</v>
      </c>
      <c r="AA124" s="19" t="s">
        <v>169</v>
      </c>
    </row>
    <row r="125" spans="1:27" s="3" customFormat="1" ht="37.5" x14ac:dyDescent="0.3">
      <c r="A125" s="7">
        <v>124</v>
      </c>
      <c r="B125" s="20" t="s">
        <v>68</v>
      </c>
      <c r="C125" s="51" t="s">
        <v>1341</v>
      </c>
      <c r="D125" s="34" t="e">
        <f>VLOOKUP(I125,#REF!,14,0)</f>
        <v>#REF!</v>
      </c>
      <c r="E125" s="29" t="s">
        <v>416</v>
      </c>
      <c r="F125" s="19" t="s">
        <v>145</v>
      </c>
      <c r="G125" s="19" t="s">
        <v>8</v>
      </c>
      <c r="H125" s="19" t="s">
        <v>143</v>
      </c>
      <c r="I125" s="19" t="s">
        <v>145</v>
      </c>
      <c r="J125" s="19" t="s">
        <v>953</v>
      </c>
      <c r="K125" s="20" t="s">
        <v>1191</v>
      </c>
      <c r="L125" s="23">
        <v>547495</v>
      </c>
      <c r="M125" s="23">
        <v>686297</v>
      </c>
      <c r="N125" s="23"/>
      <c r="O125" s="21"/>
      <c r="P125" s="21"/>
      <c r="Q125" s="19"/>
      <c r="R125" s="19"/>
      <c r="S125" s="21"/>
      <c r="T125" s="21"/>
      <c r="U125" s="21"/>
      <c r="V125" s="21"/>
      <c r="W125" s="21"/>
      <c r="X125" s="21"/>
      <c r="Y125" s="21"/>
      <c r="Z125" s="33">
        <v>231200117330</v>
      </c>
      <c r="AA125" s="19" t="s">
        <v>170</v>
      </c>
    </row>
    <row r="126" spans="1:27" s="3" customFormat="1" ht="37.5" x14ac:dyDescent="0.3">
      <c r="A126" s="7">
        <v>125</v>
      </c>
      <c r="B126" s="20" t="s">
        <v>68</v>
      </c>
      <c r="C126" s="51" t="s">
        <v>1333</v>
      </c>
      <c r="D126" s="34" t="e">
        <f>VLOOKUP(I126,#REF!,14,0)</f>
        <v>#REF!</v>
      </c>
      <c r="E126" s="29" t="s">
        <v>416</v>
      </c>
      <c r="F126" s="19" t="s">
        <v>147</v>
      </c>
      <c r="G126" s="19" t="s">
        <v>8</v>
      </c>
      <c r="H126" s="19" t="s">
        <v>143</v>
      </c>
      <c r="I126" s="19" t="s">
        <v>147</v>
      </c>
      <c r="J126" s="19" t="s">
        <v>955</v>
      </c>
      <c r="K126" s="20" t="s">
        <v>1193</v>
      </c>
      <c r="L126" s="23">
        <v>1035871</v>
      </c>
      <c r="M126" s="23">
        <v>1316045</v>
      </c>
      <c r="N126" s="23"/>
      <c r="O126" s="21"/>
      <c r="P126" s="21"/>
      <c r="Q126" s="19"/>
      <c r="R126" s="19"/>
      <c r="S126" s="21"/>
      <c r="T126" s="21"/>
      <c r="U126" s="21"/>
      <c r="V126" s="21"/>
      <c r="W126" s="21"/>
      <c r="X126" s="21"/>
      <c r="Y126" s="21"/>
      <c r="Z126" s="33">
        <v>231200118973</v>
      </c>
      <c r="AA126" s="19" t="s">
        <v>172</v>
      </c>
    </row>
    <row r="127" spans="1:27" s="3" customFormat="1" ht="37.5" x14ac:dyDescent="0.3">
      <c r="A127" s="7">
        <v>126</v>
      </c>
      <c r="B127" s="20" t="s">
        <v>68</v>
      </c>
      <c r="C127" s="51" t="s">
        <v>670</v>
      </c>
      <c r="D127" s="34" t="e">
        <f>VLOOKUP(I127,#REF!,14,0)</f>
        <v>#REF!</v>
      </c>
      <c r="E127" s="29" t="s">
        <v>416</v>
      </c>
      <c r="F127" s="19" t="s">
        <v>146</v>
      </c>
      <c r="G127" s="19" t="s">
        <v>8</v>
      </c>
      <c r="H127" s="19" t="s">
        <v>143</v>
      </c>
      <c r="I127" s="19" t="s">
        <v>146</v>
      </c>
      <c r="J127" s="19" t="s">
        <v>954</v>
      </c>
      <c r="K127" s="20" t="s">
        <v>1192</v>
      </c>
      <c r="L127" s="23">
        <v>647741</v>
      </c>
      <c r="M127" s="23">
        <v>943337</v>
      </c>
      <c r="N127" s="23"/>
      <c r="O127" s="21"/>
      <c r="P127" s="21"/>
      <c r="Q127" s="19"/>
      <c r="R127" s="19"/>
      <c r="S127" s="21"/>
      <c r="T127" s="21"/>
      <c r="U127" s="21"/>
      <c r="V127" s="21"/>
      <c r="W127" s="21"/>
      <c r="X127" s="21"/>
      <c r="Y127" s="21"/>
      <c r="Z127" s="33">
        <v>231200118970</v>
      </c>
      <c r="AA127" s="19" t="s">
        <v>171</v>
      </c>
    </row>
    <row r="128" spans="1:27" s="3" customFormat="1" ht="37.5" x14ac:dyDescent="0.3">
      <c r="A128" s="7">
        <v>127</v>
      </c>
      <c r="B128" s="20" t="s">
        <v>68</v>
      </c>
      <c r="C128" s="51" t="s">
        <v>662</v>
      </c>
      <c r="D128" s="34" t="e">
        <f>VLOOKUP(I128,#REF!,14,0)</f>
        <v>#REF!</v>
      </c>
      <c r="E128" s="29" t="s">
        <v>416</v>
      </c>
      <c r="F128" s="19" t="s">
        <v>148</v>
      </c>
      <c r="G128" s="19" t="s">
        <v>8</v>
      </c>
      <c r="H128" s="19" t="s">
        <v>143</v>
      </c>
      <c r="I128" s="19" t="s">
        <v>148</v>
      </c>
      <c r="J128" s="19" t="s">
        <v>956</v>
      </c>
      <c r="K128" s="20" t="s">
        <v>1194</v>
      </c>
      <c r="L128" s="23">
        <v>984463</v>
      </c>
      <c r="M128" s="23">
        <v>1287770</v>
      </c>
      <c r="N128" s="23"/>
      <c r="O128" s="21"/>
      <c r="P128" s="21"/>
      <c r="Q128" s="19"/>
      <c r="R128" s="19"/>
      <c r="S128" s="21"/>
      <c r="T128" s="21"/>
      <c r="U128" s="21"/>
      <c r="V128" s="21"/>
      <c r="W128" s="21"/>
      <c r="X128" s="21"/>
      <c r="Y128" s="21"/>
      <c r="Z128" s="33">
        <v>231200117641</v>
      </c>
      <c r="AA128" s="19" t="s">
        <v>173</v>
      </c>
    </row>
    <row r="129" spans="1:27" s="3" customFormat="1" ht="37.5" x14ac:dyDescent="0.3">
      <c r="A129" s="7">
        <v>128</v>
      </c>
      <c r="B129" s="20" t="s">
        <v>68</v>
      </c>
      <c r="C129" s="51" t="s">
        <v>1336</v>
      </c>
      <c r="D129" s="34" t="e">
        <f>VLOOKUP(I129,#REF!,14,0)</f>
        <v>#REF!</v>
      </c>
      <c r="E129" s="29" t="s">
        <v>416</v>
      </c>
      <c r="F129" s="19" t="s">
        <v>149</v>
      </c>
      <c r="G129" s="19" t="s">
        <v>8</v>
      </c>
      <c r="H129" s="19" t="s">
        <v>143</v>
      </c>
      <c r="I129" s="19" t="s">
        <v>149</v>
      </c>
      <c r="J129" s="19" t="s">
        <v>957</v>
      </c>
      <c r="K129" s="20" t="s">
        <v>1195</v>
      </c>
      <c r="L129" s="23">
        <v>935626</v>
      </c>
      <c r="M129" s="23">
        <v>1102702</v>
      </c>
      <c r="N129" s="23"/>
      <c r="O129" s="21"/>
      <c r="P129" s="21"/>
      <c r="Q129" s="19"/>
      <c r="R129" s="19"/>
      <c r="S129" s="21"/>
      <c r="T129" s="21"/>
      <c r="U129" s="21"/>
      <c r="V129" s="21"/>
      <c r="W129" s="21"/>
      <c r="X129" s="21"/>
      <c r="Y129" s="21"/>
      <c r="Z129" s="33">
        <v>231200118764</v>
      </c>
      <c r="AA129" s="19" t="s">
        <v>174</v>
      </c>
    </row>
    <row r="130" spans="1:27" s="3" customFormat="1" ht="37.5" x14ac:dyDescent="0.3">
      <c r="A130" s="7">
        <v>129</v>
      </c>
      <c r="B130" s="20" t="s">
        <v>68</v>
      </c>
      <c r="C130" s="51" t="s">
        <v>1327</v>
      </c>
      <c r="D130" s="19" t="e">
        <f>VLOOKUP(I130,#REF!,14,0)</f>
        <v>#REF!</v>
      </c>
      <c r="E130" s="29" t="s">
        <v>416</v>
      </c>
      <c r="F130" s="19" t="s">
        <v>151</v>
      </c>
      <c r="G130" s="19" t="s">
        <v>8</v>
      </c>
      <c r="H130" s="19" t="s">
        <v>143</v>
      </c>
      <c r="I130" s="19" t="s">
        <v>151</v>
      </c>
      <c r="J130" s="19" t="s">
        <v>813</v>
      </c>
      <c r="K130" s="20" t="s">
        <v>1197</v>
      </c>
      <c r="L130" s="23">
        <v>938196</v>
      </c>
      <c r="M130" s="23">
        <v>1118124</v>
      </c>
      <c r="N130" s="23"/>
      <c r="O130" s="21"/>
      <c r="P130" s="21"/>
      <c r="Q130" s="19"/>
      <c r="R130" s="19"/>
      <c r="S130" s="21"/>
      <c r="T130" s="21"/>
      <c r="U130" s="21"/>
      <c r="V130" s="21"/>
      <c r="W130" s="21"/>
      <c r="X130" s="21"/>
      <c r="Y130" s="21"/>
      <c r="Z130" s="33">
        <v>231200118968</v>
      </c>
      <c r="AA130" s="19" t="s">
        <v>176</v>
      </c>
    </row>
    <row r="131" spans="1:27" s="3" customFormat="1" ht="37.5" x14ac:dyDescent="0.3">
      <c r="A131" s="7">
        <v>130</v>
      </c>
      <c r="B131" s="20" t="s">
        <v>68</v>
      </c>
      <c r="C131" s="51" t="s">
        <v>1340</v>
      </c>
      <c r="D131" s="34" t="e">
        <f>VLOOKUP(I131,#REF!,14,0)</f>
        <v>#REF!</v>
      </c>
      <c r="E131" s="29" t="s">
        <v>416</v>
      </c>
      <c r="F131" s="19" t="s">
        <v>150</v>
      </c>
      <c r="G131" s="19" t="s">
        <v>8</v>
      </c>
      <c r="H131" s="19" t="s">
        <v>143</v>
      </c>
      <c r="I131" s="19" t="s">
        <v>150</v>
      </c>
      <c r="J131" s="19" t="s">
        <v>958</v>
      </c>
      <c r="K131" s="20" t="s">
        <v>1196</v>
      </c>
      <c r="L131" s="23">
        <v>773690</v>
      </c>
      <c r="M131" s="23">
        <v>1069286</v>
      </c>
      <c r="N131" s="23"/>
      <c r="O131" s="21"/>
      <c r="P131" s="21"/>
      <c r="Q131" s="19"/>
      <c r="R131" s="19"/>
      <c r="S131" s="21"/>
      <c r="T131" s="21"/>
      <c r="U131" s="21"/>
      <c r="V131" s="21"/>
      <c r="W131" s="21"/>
      <c r="X131" s="21"/>
      <c r="Y131" s="21"/>
      <c r="Z131" s="33">
        <v>231200118972</v>
      </c>
      <c r="AA131" s="19" t="s">
        <v>175</v>
      </c>
    </row>
    <row r="132" spans="1:27" s="3" customFormat="1" ht="37.5" x14ac:dyDescent="0.3">
      <c r="A132" s="7">
        <v>131</v>
      </c>
      <c r="B132" s="20" t="s">
        <v>68</v>
      </c>
      <c r="C132" s="51" t="s">
        <v>1347</v>
      </c>
      <c r="D132" s="34" t="e">
        <f>VLOOKUP(I132,#REF!,14,0)</f>
        <v>#REF!</v>
      </c>
      <c r="E132" s="29" t="s">
        <v>416</v>
      </c>
      <c r="F132" s="19" t="s">
        <v>152</v>
      </c>
      <c r="G132" s="19" t="s">
        <v>8</v>
      </c>
      <c r="H132" s="19" t="s">
        <v>143</v>
      </c>
      <c r="I132" s="19" t="s">
        <v>152</v>
      </c>
      <c r="J132" s="19" t="s">
        <v>814</v>
      </c>
      <c r="K132" s="20" t="s">
        <v>1198</v>
      </c>
      <c r="L132" s="23">
        <v>662671</v>
      </c>
      <c r="M132" s="23">
        <v>820368</v>
      </c>
      <c r="N132" s="23"/>
      <c r="O132" s="21"/>
      <c r="P132" s="21"/>
      <c r="Q132" s="19"/>
      <c r="R132" s="19"/>
      <c r="S132" s="21"/>
      <c r="T132" s="21"/>
      <c r="U132" s="21"/>
      <c r="V132" s="21"/>
      <c r="W132" s="21"/>
      <c r="X132" s="21"/>
      <c r="Y132" s="21"/>
      <c r="Z132" s="33">
        <v>231200118961</v>
      </c>
      <c r="AA132" s="19" t="s">
        <v>177</v>
      </c>
    </row>
    <row r="133" spans="1:27" s="3" customFormat="1" ht="37.5" x14ac:dyDescent="0.3">
      <c r="A133" s="7">
        <v>132</v>
      </c>
      <c r="B133" s="20" t="s">
        <v>68</v>
      </c>
      <c r="C133" s="51" t="s">
        <v>1343</v>
      </c>
      <c r="D133" s="34" t="e">
        <f>VLOOKUP(I133,#REF!,14,0)</f>
        <v>#REF!</v>
      </c>
      <c r="E133" s="29" t="s">
        <v>416</v>
      </c>
      <c r="F133" s="19" t="s">
        <v>153</v>
      </c>
      <c r="G133" s="19" t="s">
        <v>8</v>
      </c>
      <c r="H133" s="19" t="s">
        <v>143</v>
      </c>
      <c r="I133" s="19" t="s">
        <v>153</v>
      </c>
      <c r="J133" s="19" t="s">
        <v>815</v>
      </c>
      <c r="K133" s="20" t="s">
        <v>1199</v>
      </c>
      <c r="L133" s="23">
        <v>827604</v>
      </c>
      <c r="M133" s="23">
        <v>918054</v>
      </c>
      <c r="N133" s="23"/>
      <c r="O133" s="21"/>
      <c r="P133" s="21"/>
      <c r="Q133" s="19"/>
      <c r="R133" s="19"/>
      <c r="S133" s="21"/>
      <c r="T133" s="21"/>
      <c r="U133" s="21"/>
      <c r="V133" s="21"/>
      <c r="W133" s="21"/>
      <c r="X133" s="21"/>
      <c r="Y133" s="21"/>
      <c r="Z133" s="33">
        <v>231200117487</v>
      </c>
      <c r="AA133" s="19" t="s">
        <v>178</v>
      </c>
    </row>
    <row r="134" spans="1:27" s="3" customFormat="1" ht="37.5" x14ac:dyDescent="0.3">
      <c r="A134" s="7">
        <v>133</v>
      </c>
      <c r="B134" s="20" t="s">
        <v>68</v>
      </c>
      <c r="C134" s="51" t="s">
        <v>1349</v>
      </c>
      <c r="D134" s="34" t="e">
        <f>VLOOKUP(I134,#REF!,14,0)</f>
        <v>#REF!</v>
      </c>
      <c r="E134" s="29" t="s">
        <v>416</v>
      </c>
      <c r="F134" s="19" t="s">
        <v>154</v>
      </c>
      <c r="G134" s="19" t="s">
        <v>8</v>
      </c>
      <c r="H134" s="19" t="s">
        <v>143</v>
      </c>
      <c r="I134" s="19" t="s">
        <v>154</v>
      </c>
      <c r="J134" s="19" t="s">
        <v>816</v>
      </c>
      <c r="K134" s="20" t="s">
        <v>1200</v>
      </c>
      <c r="L134" s="23">
        <v>727428</v>
      </c>
      <c r="M134" s="23">
        <v>896346</v>
      </c>
      <c r="N134" s="23"/>
      <c r="O134" s="21"/>
      <c r="P134" s="21"/>
      <c r="Q134" s="19"/>
      <c r="R134" s="19"/>
      <c r="S134" s="21"/>
      <c r="T134" s="21"/>
      <c r="U134" s="21"/>
      <c r="V134" s="21"/>
      <c r="W134" s="21"/>
      <c r="X134" s="21"/>
      <c r="Y134" s="21"/>
      <c r="Z134" s="33">
        <v>231200117481</v>
      </c>
      <c r="AA134" s="19" t="s">
        <v>179</v>
      </c>
    </row>
    <row r="135" spans="1:27" s="3" customFormat="1" ht="37.5" x14ac:dyDescent="0.3">
      <c r="A135" s="7">
        <v>134</v>
      </c>
      <c r="B135" s="20" t="s">
        <v>68</v>
      </c>
      <c r="C135" s="51" t="s">
        <v>1348</v>
      </c>
      <c r="D135" s="34" t="e">
        <f>VLOOKUP(I135,#REF!,14,0)</f>
        <v>#REF!</v>
      </c>
      <c r="E135" s="29" t="s">
        <v>416</v>
      </c>
      <c r="F135" s="19" t="s">
        <v>155</v>
      </c>
      <c r="G135" s="19" t="s">
        <v>8</v>
      </c>
      <c r="H135" s="19" t="s">
        <v>143</v>
      </c>
      <c r="I135" s="19" t="s">
        <v>155</v>
      </c>
      <c r="J135" s="19" t="s">
        <v>817</v>
      </c>
      <c r="K135" s="20" t="s">
        <v>1201</v>
      </c>
      <c r="L135" s="23">
        <v>1113426</v>
      </c>
      <c r="M135" s="23">
        <v>1328616</v>
      </c>
      <c r="N135" s="23"/>
      <c r="O135" s="21"/>
      <c r="P135" s="21"/>
      <c r="Q135" s="19"/>
      <c r="R135" s="19"/>
      <c r="S135" s="21"/>
      <c r="T135" s="21"/>
      <c r="U135" s="21"/>
      <c r="V135" s="21">
        <v>34755</v>
      </c>
      <c r="W135" s="21">
        <v>32711</v>
      </c>
      <c r="X135" s="21">
        <v>51111</v>
      </c>
      <c r="Y135" s="21">
        <v>49067</v>
      </c>
      <c r="Z135" s="33">
        <v>231200118976</v>
      </c>
      <c r="AA135" s="19" t="s">
        <v>180</v>
      </c>
    </row>
    <row r="136" spans="1:27" s="3" customFormat="1" ht="37.5" x14ac:dyDescent="0.3">
      <c r="A136" s="7">
        <v>135</v>
      </c>
      <c r="B136" s="20" t="s">
        <v>68</v>
      </c>
      <c r="C136" s="51" t="s">
        <v>1342</v>
      </c>
      <c r="D136" s="34" t="e">
        <f>VLOOKUP(I136,#REF!,14,0)</f>
        <v>#REF!</v>
      </c>
      <c r="E136" s="29" t="s">
        <v>416</v>
      </c>
      <c r="F136" s="19" t="s">
        <v>156</v>
      </c>
      <c r="G136" s="19" t="s">
        <v>8</v>
      </c>
      <c r="H136" s="19" t="s">
        <v>143</v>
      </c>
      <c r="I136" s="19" t="s">
        <v>156</v>
      </c>
      <c r="J136" s="19" t="s">
        <v>818</v>
      </c>
      <c r="K136" s="20" t="s">
        <v>1202</v>
      </c>
      <c r="L136" s="23">
        <v>597914</v>
      </c>
      <c r="M136" s="23">
        <v>928908</v>
      </c>
      <c r="N136" s="23"/>
      <c r="O136" s="21"/>
      <c r="P136" s="21"/>
      <c r="Q136" s="19"/>
      <c r="R136" s="19"/>
      <c r="S136" s="21"/>
      <c r="T136" s="21"/>
      <c r="U136" s="21"/>
      <c r="V136" s="21">
        <v>36800</v>
      </c>
      <c r="W136" s="21">
        <v>12267</v>
      </c>
      <c r="X136" s="21">
        <v>34755</v>
      </c>
      <c r="Y136" s="21">
        <v>34755</v>
      </c>
      <c r="Z136" s="33">
        <v>231200118963</v>
      </c>
      <c r="AA136" s="19" t="s">
        <v>181</v>
      </c>
    </row>
    <row r="137" spans="1:27" s="3" customFormat="1" ht="37.5" x14ac:dyDescent="0.3">
      <c r="A137" s="7">
        <v>136</v>
      </c>
      <c r="B137" s="20" t="s">
        <v>68</v>
      </c>
      <c r="C137" s="51" t="s">
        <v>1329</v>
      </c>
      <c r="D137" s="34" t="e">
        <f>VLOOKUP(I137,#REF!,14,0)</f>
        <v>#REF!</v>
      </c>
      <c r="E137" s="29" t="s">
        <v>416</v>
      </c>
      <c r="F137" s="19" t="s">
        <v>157</v>
      </c>
      <c r="G137" s="19" t="s">
        <v>8</v>
      </c>
      <c r="H137" s="19" t="s">
        <v>143</v>
      </c>
      <c r="I137" s="19" t="s">
        <v>157</v>
      </c>
      <c r="J137" s="19" t="s">
        <v>689</v>
      </c>
      <c r="K137" s="20" t="s">
        <v>1203</v>
      </c>
      <c r="L137" s="23">
        <v>272462</v>
      </c>
      <c r="M137" s="23">
        <v>632318</v>
      </c>
      <c r="N137" s="23"/>
      <c r="O137" s="21"/>
      <c r="P137" s="21"/>
      <c r="Q137" s="19"/>
      <c r="R137" s="19"/>
      <c r="S137" s="21"/>
      <c r="T137" s="21"/>
      <c r="U137" s="21"/>
      <c r="V137" s="21">
        <v>475820</v>
      </c>
      <c r="W137" s="21">
        <v>66222</v>
      </c>
      <c r="X137" s="21">
        <v>29432</v>
      </c>
      <c r="Y137" s="21">
        <v>34338</v>
      </c>
      <c r="Z137" s="33">
        <v>231200118971</v>
      </c>
      <c r="AA137" s="19" t="s">
        <v>182</v>
      </c>
    </row>
    <row r="138" spans="1:27" s="3" customFormat="1" ht="37.5" x14ac:dyDescent="0.3">
      <c r="A138" s="7">
        <v>137</v>
      </c>
      <c r="B138" s="20" t="s">
        <v>68</v>
      </c>
      <c r="C138" s="51" t="s">
        <v>1334</v>
      </c>
      <c r="D138" s="34" t="e">
        <f>VLOOKUP(I138,#REF!,14,0)</f>
        <v>#REF!</v>
      </c>
      <c r="E138" s="29" t="s">
        <v>416</v>
      </c>
      <c r="F138" s="19" t="s">
        <v>159</v>
      </c>
      <c r="G138" s="19" t="s">
        <v>8</v>
      </c>
      <c r="H138" s="19" t="s">
        <v>143</v>
      </c>
      <c r="I138" s="19" t="s">
        <v>159</v>
      </c>
      <c r="J138" s="19" t="s">
        <v>820</v>
      </c>
      <c r="K138" s="20" t="s">
        <v>1205</v>
      </c>
      <c r="L138" s="23">
        <v>444031</v>
      </c>
      <c r="M138" s="23">
        <v>520206</v>
      </c>
      <c r="N138" s="23"/>
      <c r="O138" s="21"/>
      <c r="P138" s="21"/>
      <c r="Q138" s="19"/>
      <c r="R138" s="19"/>
      <c r="S138" s="21"/>
      <c r="T138" s="21"/>
      <c r="U138" s="21"/>
      <c r="V138" s="21">
        <v>1463886</v>
      </c>
      <c r="W138" s="21">
        <v>197284</v>
      </c>
      <c r="X138" s="21">
        <v>77689</v>
      </c>
      <c r="Y138" s="21">
        <v>108559</v>
      </c>
      <c r="Z138" s="33">
        <v>231200118966</v>
      </c>
      <c r="AA138" s="19" t="s">
        <v>184</v>
      </c>
    </row>
    <row r="139" spans="1:27" s="3" customFormat="1" ht="37.5" x14ac:dyDescent="0.3">
      <c r="A139" s="7">
        <v>138</v>
      </c>
      <c r="B139" s="20" t="s">
        <v>68</v>
      </c>
      <c r="C139" s="51" t="s">
        <v>1344</v>
      </c>
      <c r="D139" s="34" t="e">
        <f>VLOOKUP(I139,#REF!,14,0)</f>
        <v>#REF!</v>
      </c>
      <c r="E139" s="29" t="s">
        <v>416</v>
      </c>
      <c r="F139" s="19" t="s">
        <v>158</v>
      </c>
      <c r="G139" s="19" t="s">
        <v>8</v>
      </c>
      <c r="H139" s="19" t="s">
        <v>143</v>
      </c>
      <c r="I139" s="19" t="s">
        <v>158</v>
      </c>
      <c r="J139" s="19" t="s">
        <v>819</v>
      </c>
      <c r="K139" s="20" t="s">
        <v>1204</v>
      </c>
      <c r="L139" s="23">
        <v>845694</v>
      </c>
      <c r="M139" s="23">
        <v>714476</v>
      </c>
      <c r="N139" s="23"/>
      <c r="O139" s="21"/>
      <c r="P139" s="21"/>
      <c r="Q139" s="19"/>
      <c r="R139" s="19"/>
      <c r="S139" s="21"/>
      <c r="T139" s="21"/>
      <c r="U139" s="21"/>
      <c r="V139" s="21">
        <v>837955</v>
      </c>
      <c r="W139" s="21">
        <v>152922</v>
      </c>
      <c r="X139" s="21">
        <v>24533</v>
      </c>
      <c r="Y139" s="21">
        <v>38844</v>
      </c>
      <c r="Z139" s="33">
        <v>231200118967</v>
      </c>
      <c r="AA139" s="19" t="s">
        <v>183</v>
      </c>
    </row>
    <row r="140" spans="1:27" s="3" customFormat="1" ht="37.5" x14ac:dyDescent="0.3">
      <c r="A140" s="7">
        <v>139</v>
      </c>
      <c r="B140" s="20" t="s">
        <v>68</v>
      </c>
      <c r="C140" s="51" t="s">
        <v>1346</v>
      </c>
      <c r="D140" s="34" t="e">
        <f>VLOOKUP(I140,#REF!,14,0)</f>
        <v>#REF!</v>
      </c>
      <c r="E140" s="29" t="s">
        <v>416</v>
      </c>
      <c r="F140" s="19" t="s">
        <v>161</v>
      </c>
      <c r="G140" s="19" t="s">
        <v>8</v>
      </c>
      <c r="H140" s="19" t="s">
        <v>143</v>
      </c>
      <c r="I140" s="19" t="s">
        <v>161</v>
      </c>
      <c r="J140" s="19" t="s">
        <v>821</v>
      </c>
      <c r="K140" s="20" t="s">
        <v>1207</v>
      </c>
      <c r="L140" s="23">
        <v>972324</v>
      </c>
      <c r="M140" s="23">
        <v>1339826</v>
      </c>
      <c r="N140" s="23"/>
      <c r="O140" s="21"/>
      <c r="P140" s="21"/>
      <c r="Q140" s="19"/>
      <c r="R140" s="19"/>
      <c r="S140" s="21"/>
      <c r="T140" s="21"/>
      <c r="U140" s="21"/>
      <c r="V140" s="21">
        <v>1041668</v>
      </c>
      <c r="W140" s="21">
        <v>26578</v>
      </c>
      <c r="X140" s="21">
        <v>18400</v>
      </c>
      <c r="Y140" s="21">
        <v>44978</v>
      </c>
      <c r="Z140" s="33">
        <v>231200117484</v>
      </c>
      <c r="AA140" s="19" t="s">
        <v>186</v>
      </c>
    </row>
    <row r="141" spans="1:27" s="3" customFormat="1" ht="37.5" x14ac:dyDescent="0.3">
      <c r="A141" s="7">
        <v>140</v>
      </c>
      <c r="B141" s="20" t="s">
        <v>68</v>
      </c>
      <c r="C141" s="51" t="s">
        <v>1338</v>
      </c>
      <c r="D141" s="34" t="e">
        <f>VLOOKUP(I141,#REF!,14,0)</f>
        <v>#REF!</v>
      </c>
      <c r="E141" s="29" t="s">
        <v>416</v>
      </c>
      <c r="F141" s="19" t="s">
        <v>160</v>
      </c>
      <c r="G141" s="19" t="s">
        <v>8</v>
      </c>
      <c r="H141" s="19" t="s">
        <v>143</v>
      </c>
      <c r="I141" s="19" t="s">
        <v>160</v>
      </c>
      <c r="J141" s="19" t="s">
        <v>679</v>
      </c>
      <c r="K141" s="20" t="s">
        <v>1206</v>
      </c>
      <c r="L141" s="23">
        <v>610865</v>
      </c>
      <c r="M141" s="23">
        <v>813132</v>
      </c>
      <c r="N141" s="23"/>
      <c r="O141" s="21"/>
      <c r="P141" s="21"/>
      <c r="Q141" s="19"/>
      <c r="R141" s="19"/>
      <c r="S141" s="21"/>
      <c r="T141" s="21"/>
      <c r="U141" s="21"/>
      <c r="V141" s="21"/>
      <c r="W141" s="21"/>
      <c r="X141" s="21"/>
      <c r="Y141" s="21"/>
      <c r="Z141" s="33">
        <v>231200118965</v>
      </c>
      <c r="AA141" s="19" t="s">
        <v>185</v>
      </c>
    </row>
    <row r="142" spans="1:27" s="3" customFormat="1" ht="37.5" x14ac:dyDescent="0.3">
      <c r="A142" s="7">
        <v>141</v>
      </c>
      <c r="B142" s="20" t="s">
        <v>68</v>
      </c>
      <c r="C142" s="51" t="s">
        <v>1330</v>
      </c>
      <c r="D142" s="34" t="e">
        <f>VLOOKUP(I142,#REF!,14,0)</f>
        <v>#REF!</v>
      </c>
      <c r="E142" s="29" t="s">
        <v>416</v>
      </c>
      <c r="F142" s="19" t="s">
        <v>162</v>
      </c>
      <c r="G142" s="19" t="s">
        <v>8</v>
      </c>
      <c r="H142" s="19" t="s">
        <v>143</v>
      </c>
      <c r="I142" s="19" t="s">
        <v>162</v>
      </c>
      <c r="J142" s="19" t="s">
        <v>822</v>
      </c>
      <c r="K142" s="20" t="s">
        <v>1208</v>
      </c>
      <c r="L142" s="23">
        <v>607627</v>
      </c>
      <c r="M142" s="23">
        <v>881874</v>
      </c>
      <c r="N142" s="23"/>
      <c r="O142" s="21"/>
      <c r="P142" s="21"/>
      <c r="Q142" s="19"/>
      <c r="R142" s="19"/>
      <c r="S142" s="21"/>
      <c r="T142" s="21"/>
      <c r="U142" s="21"/>
      <c r="V142" s="21">
        <v>589021</v>
      </c>
      <c r="W142" s="21">
        <v>61333</v>
      </c>
      <c r="X142" s="21">
        <v>38844</v>
      </c>
      <c r="Y142" s="21">
        <v>34755</v>
      </c>
      <c r="Z142" s="33">
        <v>231200118964</v>
      </c>
      <c r="AA142" s="19" t="s">
        <v>187</v>
      </c>
    </row>
    <row r="143" spans="1:27" s="3" customFormat="1" ht="37.5" x14ac:dyDescent="0.3">
      <c r="A143" s="7">
        <v>142</v>
      </c>
      <c r="B143" s="20" t="s">
        <v>68</v>
      </c>
      <c r="C143" s="51" t="s">
        <v>1332</v>
      </c>
      <c r="D143" s="34" t="e">
        <f>VLOOKUP(I143,#REF!,14,0)</f>
        <v>#REF!</v>
      </c>
      <c r="E143" s="29" t="s">
        <v>416</v>
      </c>
      <c r="F143" s="19" t="s">
        <v>163</v>
      </c>
      <c r="G143" s="19" t="s">
        <v>8</v>
      </c>
      <c r="H143" s="19" t="s">
        <v>143</v>
      </c>
      <c r="I143" s="19" t="s">
        <v>163</v>
      </c>
      <c r="J143" s="19" t="s">
        <v>823</v>
      </c>
      <c r="K143" s="20" t="s">
        <v>1209</v>
      </c>
      <c r="L143" s="23">
        <v>610865</v>
      </c>
      <c r="M143" s="23">
        <v>1033830</v>
      </c>
      <c r="N143" s="23"/>
      <c r="O143" s="21"/>
      <c r="P143" s="21"/>
      <c r="Q143" s="19"/>
      <c r="R143" s="19"/>
      <c r="S143" s="21"/>
      <c r="T143" s="21"/>
      <c r="U143" s="21"/>
      <c r="V143" s="21">
        <v>359912</v>
      </c>
      <c r="W143" s="21">
        <v>14311</v>
      </c>
      <c r="X143" s="21">
        <v>36800</v>
      </c>
      <c r="Y143" s="21">
        <v>22489</v>
      </c>
      <c r="Z143" s="33">
        <v>231200118962</v>
      </c>
      <c r="AA143" s="19" t="s">
        <v>188</v>
      </c>
    </row>
    <row r="144" spans="1:27" s="3" customFormat="1" ht="37.5" x14ac:dyDescent="0.3">
      <c r="A144" s="7">
        <v>143</v>
      </c>
      <c r="B144" s="20" t="s">
        <v>68</v>
      </c>
      <c r="C144" s="51" t="s">
        <v>1337</v>
      </c>
      <c r="D144" s="34" t="e">
        <f>VLOOKUP(I144,#REF!,14,0)</f>
        <v>#REF!</v>
      </c>
      <c r="E144" s="29" t="s">
        <v>416</v>
      </c>
      <c r="F144" s="19" t="s">
        <v>165</v>
      </c>
      <c r="G144" s="19" t="s">
        <v>8</v>
      </c>
      <c r="H144" s="19" t="s">
        <v>143</v>
      </c>
      <c r="I144" s="19" t="s">
        <v>165</v>
      </c>
      <c r="J144" s="19" t="s">
        <v>825</v>
      </c>
      <c r="K144" s="20" t="s">
        <v>1211</v>
      </c>
      <c r="L144" s="23">
        <v>714476</v>
      </c>
      <c r="M144" s="23">
        <v>1138752</v>
      </c>
      <c r="N144" s="23"/>
      <c r="O144" s="21"/>
      <c r="P144" s="21"/>
      <c r="Q144" s="19"/>
      <c r="R144" s="19"/>
      <c r="S144" s="21"/>
      <c r="T144" s="21"/>
      <c r="U144" s="21"/>
      <c r="V144" s="21">
        <v>487091</v>
      </c>
      <c r="W144" s="21">
        <v>32711</v>
      </c>
      <c r="X144" s="21">
        <v>36800</v>
      </c>
      <c r="Y144" s="21">
        <v>94044</v>
      </c>
      <c r="Z144" s="33">
        <v>231200117483</v>
      </c>
      <c r="AA144" s="19" t="s">
        <v>190</v>
      </c>
    </row>
    <row r="145" spans="1:27" s="3" customFormat="1" ht="37.5" x14ac:dyDescent="0.3">
      <c r="A145" s="7">
        <v>144</v>
      </c>
      <c r="B145" s="20" t="s">
        <v>68</v>
      </c>
      <c r="C145" s="51" t="s">
        <v>1339</v>
      </c>
      <c r="D145" s="34" t="e">
        <f>VLOOKUP(I145,#REF!,14,0)</f>
        <v>#REF!</v>
      </c>
      <c r="E145" s="29" t="s">
        <v>416</v>
      </c>
      <c r="F145" s="19" t="s">
        <v>164</v>
      </c>
      <c r="G145" s="19" t="s">
        <v>8</v>
      </c>
      <c r="H145" s="19" t="s">
        <v>143</v>
      </c>
      <c r="I145" s="19" t="s">
        <v>164</v>
      </c>
      <c r="J145" s="19" t="s">
        <v>824</v>
      </c>
      <c r="K145" s="20" t="s">
        <v>1210</v>
      </c>
      <c r="L145" s="23">
        <v>1077246</v>
      </c>
      <c r="M145" s="23">
        <v>1113426</v>
      </c>
      <c r="N145" s="23"/>
      <c r="O145" s="21"/>
      <c r="P145" s="21"/>
      <c r="Q145" s="19"/>
      <c r="R145" s="19"/>
      <c r="S145" s="21"/>
      <c r="T145" s="21"/>
      <c r="U145" s="21"/>
      <c r="V145" s="21">
        <v>271616</v>
      </c>
      <c r="W145" s="21">
        <v>14311</v>
      </c>
      <c r="X145" s="21">
        <v>20444</v>
      </c>
      <c r="Y145" s="21">
        <v>24533</v>
      </c>
      <c r="Z145" s="33">
        <v>231200118963</v>
      </c>
      <c r="AA145" s="19" t="s">
        <v>189</v>
      </c>
    </row>
    <row r="146" spans="1:27" s="3" customFormat="1" ht="37.5" x14ac:dyDescent="0.3">
      <c r="A146" s="7">
        <v>145</v>
      </c>
      <c r="B146" s="20" t="s">
        <v>68</v>
      </c>
      <c r="C146" s="51" t="s">
        <v>1328</v>
      </c>
      <c r="D146" s="34" t="e">
        <f>VLOOKUP(I146,#REF!,14,0)</f>
        <v>#REF!</v>
      </c>
      <c r="E146" s="29" t="s">
        <v>416</v>
      </c>
      <c r="F146" s="19" t="s">
        <v>167</v>
      </c>
      <c r="G146" s="19" t="s">
        <v>8</v>
      </c>
      <c r="H146" s="19" t="s">
        <v>143</v>
      </c>
      <c r="I146" s="19" t="s">
        <v>167</v>
      </c>
      <c r="J146" s="19" t="s">
        <v>827</v>
      </c>
      <c r="K146" s="20" t="s">
        <v>1213</v>
      </c>
      <c r="L146" s="23">
        <v>2670127</v>
      </c>
      <c r="M146" s="23">
        <v>2800915</v>
      </c>
      <c r="N146" s="23"/>
      <c r="O146" s="21"/>
      <c r="P146" s="21"/>
      <c r="Q146" s="19"/>
      <c r="R146" s="19"/>
      <c r="S146" s="21"/>
      <c r="T146" s="21"/>
      <c r="U146" s="21"/>
      <c r="V146" s="21">
        <v>496357</v>
      </c>
      <c r="W146" s="21">
        <v>14311</v>
      </c>
      <c r="X146" s="21">
        <v>40889</v>
      </c>
      <c r="Y146" s="21">
        <v>34755</v>
      </c>
      <c r="Z146" s="33">
        <v>231200117488</v>
      </c>
      <c r="AA146" s="19" t="s">
        <v>192</v>
      </c>
    </row>
    <row r="147" spans="1:27" s="3" customFormat="1" ht="37.5" x14ac:dyDescent="0.3">
      <c r="A147" s="7">
        <v>146</v>
      </c>
      <c r="B147" s="20" t="s">
        <v>68</v>
      </c>
      <c r="C147" s="51" t="s">
        <v>1331</v>
      </c>
      <c r="D147" s="34" t="e">
        <f>VLOOKUP(I147,#REF!,14,0)</f>
        <v>#REF!</v>
      </c>
      <c r="E147" s="29" t="s">
        <v>416</v>
      </c>
      <c r="F147" s="19" t="s">
        <v>166</v>
      </c>
      <c r="G147" s="19" t="s">
        <v>8</v>
      </c>
      <c r="H147" s="19" t="s">
        <v>143</v>
      </c>
      <c r="I147" s="19" t="s">
        <v>166</v>
      </c>
      <c r="J147" s="19" t="s">
        <v>826</v>
      </c>
      <c r="K147" s="20" t="s">
        <v>1212</v>
      </c>
      <c r="L147" s="23">
        <v>946998</v>
      </c>
      <c r="M147" s="23">
        <v>994032</v>
      </c>
      <c r="N147" s="23"/>
      <c r="O147" s="21"/>
      <c r="P147" s="21"/>
      <c r="Q147" s="19"/>
      <c r="R147" s="19"/>
      <c r="S147" s="21"/>
      <c r="T147" s="21"/>
      <c r="U147" s="21"/>
      <c r="V147" s="21">
        <v>869030</v>
      </c>
      <c r="W147" s="21">
        <v>112784</v>
      </c>
      <c r="X147" s="21">
        <v>163484</v>
      </c>
      <c r="Y147" s="21">
        <v>114897</v>
      </c>
      <c r="Z147" s="33">
        <v>231200117482</v>
      </c>
      <c r="AA147" s="19" t="s">
        <v>191</v>
      </c>
    </row>
    <row r="148" spans="1:27" s="15" customFormat="1" ht="37.5" x14ac:dyDescent="0.3">
      <c r="A148" s="7">
        <v>147</v>
      </c>
      <c r="B148" s="32" t="s">
        <v>68</v>
      </c>
      <c r="C148" s="59" t="s">
        <v>968</v>
      </c>
      <c r="D148" s="49" t="e">
        <f>VLOOKUP(I148,#REF!,14,0)</f>
        <v>#REF!</v>
      </c>
      <c r="E148" s="8" t="s">
        <v>135</v>
      </c>
      <c r="F148" s="49" t="s">
        <v>193</v>
      </c>
      <c r="G148" s="10" t="s">
        <v>8</v>
      </c>
      <c r="H148" s="10" t="s">
        <v>193</v>
      </c>
      <c r="I148" s="49" t="s">
        <v>193</v>
      </c>
      <c r="J148" s="10" t="s">
        <v>841</v>
      </c>
      <c r="K148" s="32" t="s">
        <v>1252</v>
      </c>
      <c r="L148" s="68"/>
      <c r="M148" s="68"/>
      <c r="N148" s="68"/>
      <c r="O148" s="35"/>
      <c r="P148" s="35"/>
      <c r="Q148" s="18">
        <v>57853</v>
      </c>
      <c r="R148" s="10"/>
      <c r="S148" s="35"/>
      <c r="T148" s="17">
        <v>10714</v>
      </c>
      <c r="U148" s="35"/>
      <c r="V148" s="35"/>
      <c r="W148" s="35"/>
      <c r="X148" s="35"/>
      <c r="Y148" s="35"/>
      <c r="Z148" s="10" t="s">
        <v>322</v>
      </c>
      <c r="AA148" s="10" t="s">
        <v>247</v>
      </c>
    </row>
    <row r="149" spans="1:27" s="15" customFormat="1" ht="37.5" x14ac:dyDescent="0.3">
      <c r="A149" s="7">
        <v>148</v>
      </c>
      <c r="B149" s="32" t="s">
        <v>68</v>
      </c>
      <c r="C149" s="59" t="s">
        <v>987</v>
      </c>
      <c r="D149" s="49" t="e">
        <f>VLOOKUP(I149,#REF!,14,0)</f>
        <v>#REF!</v>
      </c>
      <c r="E149" s="8" t="s">
        <v>135</v>
      </c>
      <c r="F149" s="10" t="s">
        <v>194</v>
      </c>
      <c r="G149" s="10" t="s">
        <v>8</v>
      </c>
      <c r="H149" s="10" t="s">
        <v>193</v>
      </c>
      <c r="I149" s="10" t="s">
        <v>194</v>
      </c>
      <c r="J149" s="10" t="s">
        <v>848</v>
      </c>
      <c r="K149" s="32" t="s">
        <v>1253</v>
      </c>
      <c r="L149" s="68"/>
      <c r="M149" s="68"/>
      <c r="N149" s="68"/>
      <c r="O149" s="35"/>
      <c r="P149" s="35"/>
      <c r="Q149" s="18">
        <v>27855</v>
      </c>
      <c r="R149" s="10"/>
      <c r="S149" s="35"/>
      <c r="T149" s="17">
        <v>14999</v>
      </c>
      <c r="U149" s="35"/>
      <c r="V149" s="35"/>
      <c r="W149" s="17">
        <v>14311</v>
      </c>
      <c r="X149" s="35"/>
      <c r="Y149" s="35"/>
      <c r="Z149" s="10" t="s">
        <v>323</v>
      </c>
      <c r="AA149" s="10" t="s">
        <v>248</v>
      </c>
    </row>
    <row r="150" spans="1:27" s="15" customFormat="1" ht="37.5" x14ac:dyDescent="0.3">
      <c r="A150" s="7">
        <v>149</v>
      </c>
      <c r="B150" s="32" t="s">
        <v>68</v>
      </c>
      <c r="C150" s="59" t="s">
        <v>988</v>
      </c>
      <c r="D150" s="49" t="e">
        <f>VLOOKUP(I150,#REF!,14,0)</f>
        <v>#REF!</v>
      </c>
      <c r="E150" s="8" t="s">
        <v>135</v>
      </c>
      <c r="F150" s="10" t="s">
        <v>195</v>
      </c>
      <c r="G150" s="10" t="s">
        <v>8</v>
      </c>
      <c r="H150" s="10" t="s">
        <v>193</v>
      </c>
      <c r="I150" s="10" t="s">
        <v>195</v>
      </c>
      <c r="J150" s="10" t="s">
        <v>854</v>
      </c>
      <c r="K150" s="32" t="s">
        <v>1254</v>
      </c>
      <c r="L150" s="68"/>
      <c r="M150" s="68"/>
      <c r="N150" s="68"/>
      <c r="O150" s="35"/>
      <c r="P150" s="17">
        <v>6428</v>
      </c>
      <c r="Q150" s="10"/>
      <c r="R150" s="10"/>
      <c r="S150" s="17">
        <v>32141</v>
      </c>
      <c r="T150" s="35"/>
      <c r="U150" s="35"/>
      <c r="V150" s="35"/>
      <c r="W150" s="17">
        <v>2044</v>
      </c>
      <c r="X150" s="35"/>
      <c r="Y150" s="35"/>
      <c r="Z150" s="10" t="s">
        <v>324</v>
      </c>
      <c r="AA150" s="10" t="s">
        <v>249</v>
      </c>
    </row>
    <row r="151" spans="1:27" s="15" customFormat="1" ht="37.5" x14ac:dyDescent="0.3">
      <c r="A151" s="7">
        <v>150</v>
      </c>
      <c r="B151" s="32" t="s">
        <v>68</v>
      </c>
      <c r="C151" s="59" t="s">
        <v>977</v>
      </c>
      <c r="D151" s="49" t="e">
        <f>VLOOKUP(I151,#REF!,14,0)</f>
        <v>#REF!</v>
      </c>
      <c r="E151" s="8" t="s">
        <v>135</v>
      </c>
      <c r="F151" s="10" t="s">
        <v>196</v>
      </c>
      <c r="G151" s="10" t="s">
        <v>8</v>
      </c>
      <c r="H151" s="10" t="s">
        <v>193</v>
      </c>
      <c r="I151" s="10" t="s">
        <v>196</v>
      </c>
      <c r="J151" s="10" t="s">
        <v>860</v>
      </c>
      <c r="K151" s="32" t="s">
        <v>1255</v>
      </c>
      <c r="L151" s="68"/>
      <c r="M151" s="68"/>
      <c r="N151" s="68"/>
      <c r="O151" s="35"/>
      <c r="P151" s="35"/>
      <c r="Q151" s="18">
        <v>53568</v>
      </c>
      <c r="R151" s="10"/>
      <c r="S151" s="35"/>
      <c r="T151" s="17">
        <v>6428</v>
      </c>
      <c r="U151" s="35"/>
      <c r="V151" s="35"/>
      <c r="W151" s="17">
        <v>2044</v>
      </c>
      <c r="X151" s="35"/>
      <c r="Y151" s="35"/>
      <c r="Z151" s="10" t="s">
        <v>325</v>
      </c>
      <c r="AA151" s="10" t="s">
        <v>250</v>
      </c>
    </row>
    <row r="152" spans="1:27" s="15" customFormat="1" ht="37.5" x14ac:dyDescent="0.3">
      <c r="A152" s="7">
        <v>151</v>
      </c>
      <c r="B152" s="32" t="s">
        <v>68</v>
      </c>
      <c r="C152" s="59" t="s">
        <v>997</v>
      </c>
      <c r="D152" s="49" t="e">
        <f>VLOOKUP(I152,#REF!,14,0)</f>
        <v>#REF!</v>
      </c>
      <c r="E152" s="8" t="s">
        <v>135</v>
      </c>
      <c r="F152" s="10" t="s">
        <v>197</v>
      </c>
      <c r="G152" s="10" t="s">
        <v>8</v>
      </c>
      <c r="H152" s="10" t="s">
        <v>193</v>
      </c>
      <c r="I152" s="10" t="s">
        <v>197</v>
      </c>
      <c r="J152" s="10" t="s">
        <v>874</v>
      </c>
      <c r="K152" s="32" t="s">
        <v>1256</v>
      </c>
      <c r="L152" s="68"/>
      <c r="M152" s="68"/>
      <c r="N152" s="68"/>
      <c r="O152" s="35"/>
      <c r="P152" s="17">
        <v>34284</v>
      </c>
      <c r="Q152" s="17">
        <v>151416</v>
      </c>
      <c r="R152" s="17">
        <v>4285</v>
      </c>
      <c r="S152" s="17">
        <v>12856</v>
      </c>
      <c r="T152" s="17">
        <v>19284</v>
      </c>
      <c r="U152" s="35"/>
      <c r="V152" s="35"/>
      <c r="W152" s="35"/>
      <c r="X152" s="35"/>
      <c r="Y152" s="35"/>
      <c r="Z152" s="10" t="s">
        <v>326</v>
      </c>
      <c r="AA152" s="10" t="s">
        <v>252</v>
      </c>
    </row>
    <row r="153" spans="1:27" s="15" customFormat="1" ht="37.5" x14ac:dyDescent="0.3">
      <c r="A153" s="7">
        <v>152</v>
      </c>
      <c r="B153" s="32" t="s">
        <v>68</v>
      </c>
      <c r="C153" s="59" t="s">
        <v>671</v>
      </c>
      <c r="D153" s="49" t="e">
        <f>VLOOKUP(I153,#REF!,14,0)</f>
        <v>#REF!</v>
      </c>
      <c r="E153" s="8" t="s">
        <v>135</v>
      </c>
      <c r="F153" s="10" t="s">
        <v>198</v>
      </c>
      <c r="G153" s="10" t="s">
        <v>8</v>
      </c>
      <c r="H153" s="10" t="s">
        <v>193</v>
      </c>
      <c r="I153" s="10" t="s">
        <v>198</v>
      </c>
      <c r="J153" s="10" t="s">
        <v>880</v>
      </c>
      <c r="K153" s="32" t="s">
        <v>1257</v>
      </c>
      <c r="L153" s="69">
        <v>47140</v>
      </c>
      <c r="M153" s="69">
        <v>55711</v>
      </c>
      <c r="N153" s="69">
        <v>55711</v>
      </c>
      <c r="O153" s="17">
        <v>49283</v>
      </c>
      <c r="P153" s="17">
        <v>53568</v>
      </c>
      <c r="Q153" s="10"/>
      <c r="R153" s="10"/>
      <c r="S153" s="17">
        <v>40712</v>
      </c>
      <c r="T153" s="35"/>
      <c r="U153" s="35"/>
      <c r="V153" s="35"/>
      <c r="W153" s="35"/>
      <c r="X153" s="35"/>
      <c r="Y153" s="35"/>
      <c r="Z153" s="10" t="s">
        <v>327</v>
      </c>
      <c r="AA153" s="10" t="s">
        <v>253</v>
      </c>
    </row>
    <row r="154" spans="1:27" s="15" customFormat="1" ht="37.5" x14ac:dyDescent="0.3">
      <c r="A154" s="7">
        <v>153</v>
      </c>
      <c r="B154" s="32" t="s">
        <v>68</v>
      </c>
      <c r="C154" s="59" t="s">
        <v>981</v>
      </c>
      <c r="D154" s="49" t="e">
        <f>VLOOKUP(I154,#REF!,14,0)</f>
        <v>#REF!</v>
      </c>
      <c r="E154" s="8" t="s">
        <v>135</v>
      </c>
      <c r="F154" s="10" t="s">
        <v>199</v>
      </c>
      <c r="G154" s="10" t="s">
        <v>8</v>
      </c>
      <c r="H154" s="10" t="s">
        <v>193</v>
      </c>
      <c r="I154" s="10" t="s">
        <v>199</v>
      </c>
      <c r="J154" s="10" t="s">
        <v>887</v>
      </c>
      <c r="K154" s="32" t="s">
        <v>1258</v>
      </c>
      <c r="L154" s="69">
        <v>34284</v>
      </c>
      <c r="M154" s="68"/>
      <c r="N154" s="68"/>
      <c r="O154" s="35"/>
      <c r="P154" s="35"/>
      <c r="Q154" s="18">
        <v>42854</v>
      </c>
      <c r="R154" s="10"/>
      <c r="S154" s="35"/>
      <c r="T154" s="35"/>
      <c r="U154" s="35"/>
      <c r="V154" s="35"/>
      <c r="W154" s="35"/>
      <c r="X154" s="35"/>
      <c r="Y154" s="35"/>
      <c r="Z154" s="10" t="s">
        <v>328</v>
      </c>
      <c r="AA154" s="10" t="s">
        <v>254</v>
      </c>
    </row>
    <row r="155" spans="1:27" s="15" customFormat="1" ht="37.5" x14ac:dyDescent="0.3">
      <c r="A155" s="7">
        <v>154</v>
      </c>
      <c r="B155" s="32" t="s">
        <v>68</v>
      </c>
      <c r="C155" s="59" t="s">
        <v>1366</v>
      </c>
      <c r="D155" s="62" t="s">
        <v>1368</v>
      </c>
      <c r="E155" s="8" t="s">
        <v>135</v>
      </c>
      <c r="F155" s="10" t="s">
        <v>200</v>
      </c>
      <c r="G155" s="10" t="s">
        <v>8</v>
      </c>
      <c r="H155" s="10" t="s">
        <v>193</v>
      </c>
      <c r="I155" s="10" t="s">
        <v>200</v>
      </c>
      <c r="J155" s="10" t="s">
        <v>894</v>
      </c>
      <c r="K155" s="32" t="s">
        <v>1259</v>
      </c>
      <c r="L155" s="68"/>
      <c r="M155" s="68"/>
      <c r="N155" s="68"/>
      <c r="O155" s="35"/>
      <c r="P155" s="35"/>
      <c r="Q155" s="18">
        <v>27855</v>
      </c>
      <c r="R155" s="10"/>
      <c r="S155" s="35"/>
      <c r="T155" s="17">
        <v>6428</v>
      </c>
      <c r="U155" s="35"/>
      <c r="V155" s="35"/>
      <c r="W155" s="17">
        <v>4089</v>
      </c>
      <c r="X155" s="35"/>
      <c r="Y155" s="35"/>
      <c r="Z155" s="10" t="s">
        <v>329</v>
      </c>
      <c r="AA155" s="10" t="s">
        <v>255</v>
      </c>
    </row>
    <row r="156" spans="1:27" s="15" customFormat="1" ht="37.5" x14ac:dyDescent="0.3">
      <c r="A156" s="7">
        <v>155</v>
      </c>
      <c r="B156" s="32" t="s">
        <v>68</v>
      </c>
      <c r="C156" s="59" t="s">
        <v>664</v>
      </c>
      <c r="D156" s="49" t="e">
        <f>VLOOKUP(I156,#REF!,14,0)</f>
        <v>#REF!</v>
      </c>
      <c r="E156" s="8" t="s">
        <v>135</v>
      </c>
      <c r="F156" s="10" t="s">
        <v>201</v>
      </c>
      <c r="G156" s="10" t="s">
        <v>8</v>
      </c>
      <c r="H156" s="10" t="s">
        <v>193</v>
      </c>
      <c r="I156" s="10" t="s">
        <v>201</v>
      </c>
      <c r="J156" s="10" t="s">
        <v>833</v>
      </c>
      <c r="K156" s="32" t="s">
        <v>1260</v>
      </c>
      <c r="L156" s="68"/>
      <c r="M156" s="68"/>
      <c r="N156" s="68"/>
      <c r="O156" s="35"/>
      <c r="P156" s="35"/>
      <c r="Q156" s="18">
        <v>25713</v>
      </c>
      <c r="R156" s="10"/>
      <c r="S156" s="35"/>
      <c r="T156" s="17">
        <v>6428</v>
      </c>
      <c r="U156" s="35"/>
      <c r="V156" s="35"/>
      <c r="W156" s="35"/>
      <c r="X156" s="35"/>
      <c r="Y156" s="35"/>
      <c r="Z156" s="10" t="s">
        <v>330</v>
      </c>
      <c r="AA156" s="10" t="s">
        <v>256</v>
      </c>
    </row>
    <row r="157" spans="1:27" s="15" customFormat="1" ht="37.5" x14ac:dyDescent="0.3">
      <c r="A157" s="7">
        <v>156</v>
      </c>
      <c r="B157" s="32" t="s">
        <v>68</v>
      </c>
      <c r="C157" s="59" t="s">
        <v>982</v>
      </c>
      <c r="D157" s="49" t="e">
        <f>VLOOKUP(I157,#REF!,14,0)</f>
        <v>#REF!</v>
      </c>
      <c r="E157" s="8" t="s">
        <v>135</v>
      </c>
      <c r="F157" s="10" t="s">
        <v>202</v>
      </c>
      <c r="G157" s="10" t="s">
        <v>8</v>
      </c>
      <c r="H157" s="10" t="s">
        <v>193</v>
      </c>
      <c r="I157" s="10" t="s">
        <v>202</v>
      </c>
      <c r="J157" s="10" t="s">
        <v>682</v>
      </c>
      <c r="K157" s="32" t="s">
        <v>1261</v>
      </c>
      <c r="L157" s="68"/>
      <c r="M157" s="68"/>
      <c r="N157" s="68"/>
      <c r="O157" s="35"/>
      <c r="P157" s="35"/>
      <c r="Q157" s="18">
        <v>21427</v>
      </c>
      <c r="R157" s="10"/>
      <c r="S157" s="35"/>
      <c r="T157" s="17">
        <v>6428</v>
      </c>
      <c r="U157" s="35"/>
      <c r="V157" s="35"/>
      <c r="W157" s="35"/>
      <c r="X157" s="35"/>
      <c r="Y157" s="35"/>
      <c r="Z157" s="10" t="s">
        <v>331</v>
      </c>
      <c r="AA157" s="10" t="s">
        <v>258</v>
      </c>
    </row>
    <row r="158" spans="1:27" s="15" customFormat="1" ht="37.5" x14ac:dyDescent="0.3">
      <c r="A158" s="7">
        <v>157</v>
      </c>
      <c r="B158" s="32" t="s">
        <v>68</v>
      </c>
      <c r="C158" s="59" t="s">
        <v>979</v>
      </c>
      <c r="D158" s="49" t="e">
        <f>VLOOKUP(I158,#REF!,14,0)</f>
        <v>#REF!</v>
      </c>
      <c r="E158" s="8" t="s">
        <v>135</v>
      </c>
      <c r="F158" s="10" t="s">
        <v>203</v>
      </c>
      <c r="G158" s="10" t="s">
        <v>8</v>
      </c>
      <c r="H158" s="10" t="s">
        <v>193</v>
      </c>
      <c r="I158" s="10" t="s">
        <v>203</v>
      </c>
      <c r="J158" s="10" t="s">
        <v>855</v>
      </c>
      <c r="K158" s="32" t="s">
        <v>1262</v>
      </c>
      <c r="L158" s="68"/>
      <c r="M158" s="68"/>
      <c r="N158" s="68"/>
      <c r="O158" s="17">
        <v>12856</v>
      </c>
      <c r="P158" s="35"/>
      <c r="Q158" s="35"/>
      <c r="R158" s="17">
        <v>8571</v>
      </c>
      <c r="S158" s="17">
        <v>32141</v>
      </c>
      <c r="T158" s="35"/>
      <c r="U158" s="35"/>
      <c r="V158" s="35"/>
      <c r="W158" s="35"/>
      <c r="X158" s="35"/>
      <c r="Y158" s="35"/>
      <c r="Z158" s="10" t="s">
        <v>332</v>
      </c>
      <c r="AA158" s="10" t="s">
        <v>259</v>
      </c>
    </row>
    <row r="159" spans="1:27" s="3" customFormat="1" ht="37.5" x14ac:dyDescent="0.3">
      <c r="A159" s="7">
        <v>158</v>
      </c>
      <c r="B159" s="20" t="s">
        <v>68</v>
      </c>
      <c r="C159" s="51" t="s">
        <v>663</v>
      </c>
      <c r="D159" s="34" t="e">
        <f>VLOOKUP(I159,#REF!,14,0)</f>
        <v>#REF!</v>
      </c>
      <c r="E159" s="29" t="s">
        <v>416</v>
      </c>
      <c r="F159" s="19" t="s">
        <v>204</v>
      </c>
      <c r="G159" s="19" t="s">
        <v>8</v>
      </c>
      <c r="H159" s="19" t="s">
        <v>193</v>
      </c>
      <c r="I159" s="19" t="s">
        <v>204</v>
      </c>
      <c r="J159" s="19" t="s">
        <v>875</v>
      </c>
      <c r="K159" s="20" t="s">
        <v>1263</v>
      </c>
      <c r="L159" s="23">
        <v>1287511</v>
      </c>
      <c r="M159" s="23">
        <v>1971346</v>
      </c>
      <c r="N159" s="23">
        <v>1971346</v>
      </c>
      <c r="O159" s="21">
        <v>2513182</v>
      </c>
      <c r="P159" s="21">
        <v>2737390</v>
      </c>
      <c r="Q159" s="21">
        <v>2696285</v>
      </c>
      <c r="R159" s="21">
        <v>3152174</v>
      </c>
      <c r="S159" s="21">
        <v>1339826</v>
      </c>
      <c r="T159" s="21">
        <v>118206</v>
      </c>
      <c r="U159" s="21">
        <v>42265</v>
      </c>
      <c r="V159" s="21"/>
      <c r="W159" s="21"/>
      <c r="X159" s="21"/>
      <c r="Y159" s="21"/>
      <c r="Z159" s="19" t="s">
        <v>333</v>
      </c>
      <c r="AA159" s="19" t="s">
        <v>268</v>
      </c>
    </row>
    <row r="160" spans="1:27" s="3" customFormat="1" ht="37.5" x14ac:dyDescent="0.3">
      <c r="A160" s="7">
        <v>159</v>
      </c>
      <c r="B160" s="20" t="s">
        <v>68</v>
      </c>
      <c r="C160" s="51" t="s">
        <v>666</v>
      </c>
      <c r="D160" s="34" t="e">
        <f>VLOOKUP(I160,#REF!,14,0)</f>
        <v>#REF!</v>
      </c>
      <c r="E160" s="20" t="s">
        <v>1455</v>
      </c>
      <c r="F160" s="19" t="s">
        <v>205</v>
      </c>
      <c r="G160" s="19" t="s">
        <v>8</v>
      </c>
      <c r="H160" s="19" t="s">
        <v>193</v>
      </c>
      <c r="I160" s="19" t="s">
        <v>205</v>
      </c>
      <c r="J160" s="19" t="s">
        <v>866</v>
      </c>
      <c r="K160" s="20" t="s">
        <v>1264</v>
      </c>
      <c r="L160" s="23">
        <v>1945188</v>
      </c>
      <c r="M160" s="23">
        <v>2068502</v>
      </c>
      <c r="N160" s="23">
        <v>2068502</v>
      </c>
      <c r="O160" s="21">
        <v>1795716</v>
      </c>
      <c r="P160" s="21">
        <v>1135134</v>
      </c>
      <c r="Q160" s="21">
        <v>467165</v>
      </c>
      <c r="R160" s="21">
        <v>510492</v>
      </c>
      <c r="S160" s="21">
        <v>446602</v>
      </c>
      <c r="T160" s="21">
        <v>433750</v>
      </c>
      <c r="U160" s="21">
        <v>433068</v>
      </c>
      <c r="V160" s="21">
        <v>493268</v>
      </c>
      <c r="W160" s="21">
        <v>700218</v>
      </c>
      <c r="X160" s="21">
        <v>530334</v>
      </c>
      <c r="Y160" s="21">
        <v>426135</v>
      </c>
      <c r="Z160" s="19">
        <v>1421007424</v>
      </c>
      <c r="AA160" s="19" t="s">
        <v>269</v>
      </c>
    </row>
    <row r="161" spans="1:27" s="3" customFormat="1" ht="37.5" x14ac:dyDescent="0.3">
      <c r="A161" s="7">
        <v>160</v>
      </c>
      <c r="B161" s="20" t="s">
        <v>68</v>
      </c>
      <c r="C161" s="51" t="s">
        <v>1016</v>
      </c>
      <c r="D161" s="34" t="e">
        <f>VLOOKUP(I161,#REF!,14,0)</f>
        <v>#REF!</v>
      </c>
      <c r="E161" s="29" t="s">
        <v>416</v>
      </c>
      <c r="F161" s="19" t="s">
        <v>206</v>
      </c>
      <c r="G161" s="19" t="s">
        <v>8</v>
      </c>
      <c r="H161" s="19" t="s">
        <v>193</v>
      </c>
      <c r="I161" s="19" t="s">
        <v>206</v>
      </c>
      <c r="J161" s="19" t="s">
        <v>861</v>
      </c>
      <c r="K161" s="20" t="s">
        <v>1265</v>
      </c>
      <c r="L161" s="23">
        <v>446602</v>
      </c>
      <c r="M161" s="23">
        <v>928908</v>
      </c>
      <c r="N161" s="23">
        <v>928908</v>
      </c>
      <c r="O161" s="21">
        <v>737141</v>
      </c>
      <c r="P161" s="21">
        <v>1120662</v>
      </c>
      <c r="Q161" s="21">
        <v>968706</v>
      </c>
      <c r="R161" s="21">
        <v>986796</v>
      </c>
      <c r="S161" s="21">
        <v>979560</v>
      </c>
      <c r="T161" s="21">
        <v>1102572</v>
      </c>
      <c r="U161" s="21">
        <v>1775566</v>
      </c>
      <c r="V161" s="21">
        <v>1770576</v>
      </c>
      <c r="W161" s="21">
        <v>1253483</v>
      </c>
      <c r="X161" s="21">
        <v>98133</v>
      </c>
      <c r="Y161" s="21">
        <v>81778</v>
      </c>
      <c r="Z161" s="19" t="s">
        <v>334</v>
      </c>
      <c r="AA161" s="19" t="s">
        <v>270</v>
      </c>
    </row>
    <row r="162" spans="1:27" s="3" customFormat="1" ht="37.5" x14ac:dyDescent="0.3">
      <c r="A162" s="7">
        <v>161</v>
      </c>
      <c r="B162" s="20" t="s">
        <v>68</v>
      </c>
      <c r="C162" s="51" t="s">
        <v>667</v>
      </c>
      <c r="D162" s="34" t="e">
        <f>VLOOKUP(I162,#REF!,14,0)</f>
        <v>#REF!</v>
      </c>
      <c r="E162" s="29" t="s">
        <v>416</v>
      </c>
      <c r="F162" s="19" t="s">
        <v>207</v>
      </c>
      <c r="G162" s="19" t="s">
        <v>8</v>
      </c>
      <c r="H162" s="19" t="s">
        <v>193</v>
      </c>
      <c r="I162" s="19" t="s">
        <v>207</v>
      </c>
      <c r="J162" s="19" t="s">
        <v>856</v>
      </c>
      <c r="K162" s="20" t="s">
        <v>1266</v>
      </c>
      <c r="L162" s="23">
        <v>191268</v>
      </c>
      <c r="M162" s="23">
        <v>240970</v>
      </c>
      <c r="N162" s="23">
        <v>240970</v>
      </c>
      <c r="O162" s="21">
        <v>85709</v>
      </c>
      <c r="P162" s="21">
        <v>189054</v>
      </c>
      <c r="Q162" s="21">
        <v>405475</v>
      </c>
      <c r="R162" s="21">
        <v>932526</v>
      </c>
      <c r="S162" s="21">
        <v>1127898</v>
      </c>
      <c r="T162" s="21">
        <v>730665</v>
      </c>
      <c r="U162" s="21"/>
      <c r="V162" s="21">
        <v>102222</v>
      </c>
      <c r="W162" s="21">
        <v>1446055</v>
      </c>
      <c r="X162" s="21">
        <v>1093459</v>
      </c>
      <c r="Y162" s="21">
        <v>900104</v>
      </c>
      <c r="Z162" s="19" t="s">
        <v>335</v>
      </c>
      <c r="AA162" s="19" t="s">
        <v>271</v>
      </c>
    </row>
    <row r="163" spans="1:27" s="3" customFormat="1" ht="37.5" x14ac:dyDescent="0.3">
      <c r="A163" s="7">
        <v>162</v>
      </c>
      <c r="B163" s="20" t="s">
        <v>68</v>
      </c>
      <c r="C163" s="51" t="s">
        <v>978</v>
      </c>
      <c r="D163" s="34" t="e">
        <f>VLOOKUP(I163,#REF!,14,0)</f>
        <v>#REF!</v>
      </c>
      <c r="E163" s="29" t="s">
        <v>416</v>
      </c>
      <c r="F163" s="19" t="s">
        <v>208</v>
      </c>
      <c r="G163" s="19" t="s">
        <v>8</v>
      </c>
      <c r="H163" s="19" t="s">
        <v>193</v>
      </c>
      <c r="I163" s="19" t="s">
        <v>208</v>
      </c>
      <c r="J163" s="19" t="s">
        <v>842</v>
      </c>
      <c r="K163" s="20" t="s">
        <v>1267</v>
      </c>
      <c r="L163" s="23">
        <v>333504</v>
      </c>
      <c r="M163" s="23">
        <v>415757</v>
      </c>
      <c r="N163" s="23">
        <v>415757</v>
      </c>
      <c r="O163" s="21">
        <v>478114</v>
      </c>
      <c r="P163" s="21">
        <v>788946</v>
      </c>
      <c r="Q163" s="21">
        <v>438890</v>
      </c>
      <c r="R163" s="21">
        <v>118206</v>
      </c>
      <c r="S163" s="21">
        <v>158058</v>
      </c>
      <c r="T163" s="21">
        <v>21427</v>
      </c>
      <c r="U163" s="21"/>
      <c r="V163" s="21"/>
      <c r="W163" s="21"/>
      <c r="X163" s="21"/>
      <c r="Y163" s="21"/>
      <c r="Z163" s="19" t="s">
        <v>336</v>
      </c>
      <c r="AA163" s="19" t="s">
        <v>283</v>
      </c>
    </row>
    <row r="164" spans="1:27" s="3" customFormat="1" ht="37.5" x14ac:dyDescent="0.3">
      <c r="A164" s="7">
        <v>163</v>
      </c>
      <c r="B164" s="20" t="s">
        <v>68</v>
      </c>
      <c r="C164" s="51" t="s">
        <v>675</v>
      </c>
      <c r="D164" s="34" t="e">
        <f>VLOOKUP(I164,#REF!,14,0)</f>
        <v>#REF!</v>
      </c>
      <c r="E164" s="29" t="s">
        <v>416</v>
      </c>
      <c r="F164" s="19" t="s">
        <v>209</v>
      </c>
      <c r="G164" s="19" t="s">
        <v>8</v>
      </c>
      <c r="H164" s="19" t="s">
        <v>193</v>
      </c>
      <c r="I164" s="19" t="s">
        <v>209</v>
      </c>
      <c r="J164" s="19" t="s">
        <v>834</v>
      </c>
      <c r="K164" s="20" t="s">
        <v>1268</v>
      </c>
      <c r="L164" s="23">
        <v>149202</v>
      </c>
      <c r="M164" s="23">
        <v>413186</v>
      </c>
      <c r="N164" s="23">
        <v>413186</v>
      </c>
      <c r="O164" s="21">
        <v>300089</v>
      </c>
      <c r="P164" s="21">
        <v>328363</v>
      </c>
      <c r="Q164" s="21">
        <v>271814</v>
      </c>
      <c r="R164" s="21">
        <v>100708</v>
      </c>
      <c r="S164" s="21">
        <v>211194</v>
      </c>
      <c r="T164" s="21">
        <v>23570</v>
      </c>
      <c r="U164" s="21"/>
      <c r="V164" s="21">
        <v>4089</v>
      </c>
      <c r="W164" s="21"/>
      <c r="X164" s="21"/>
      <c r="Y164" s="21"/>
      <c r="Z164" s="19" t="s">
        <v>337</v>
      </c>
      <c r="AA164" s="19" t="s">
        <v>284</v>
      </c>
    </row>
    <row r="165" spans="1:27" s="3" customFormat="1" ht="37.5" x14ac:dyDescent="0.3">
      <c r="A165" s="7">
        <v>164</v>
      </c>
      <c r="B165" s="20" t="s">
        <v>68</v>
      </c>
      <c r="C165" s="51" t="s">
        <v>1020</v>
      </c>
      <c r="D165" s="34" t="e">
        <f>VLOOKUP(I165,#REF!,14,0)</f>
        <v>#REF!</v>
      </c>
      <c r="E165" s="29" t="s">
        <v>416</v>
      </c>
      <c r="F165" s="19" t="s">
        <v>211</v>
      </c>
      <c r="G165" s="19" t="s">
        <v>8</v>
      </c>
      <c r="H165" s="19" t="s">
        <v>193</v>
      </c>
      <c r="I165" s="19" t="s">
        <v>211</v>
      </c>
      <c r="J165" s="19" t="s">
        <v>888</v>
      </c>
      <c r="K165" s="20" t="s">
        <v>1269</v>
      </c>
      <c r="L165" s="23">
        <v>184626</v>
      </c>
      <c r="M165" s="23">
        <v>302659</v>
      </c>
      <c r="N165" s="23">
        <v>302659</v>
      </c>
      <c r="O165" s="21">
        <v>204552</v>
      </c>
      <c r="P165" s="21">
        <v>44997</v>
      </c>
      <c r="Q165" s="21">
        <v>83566</v>
      </c>
      <c r="R165" s="21">
        <v>120420</v>
      </c>
      <c r="S165" s="21">
        <v>122634</v>
      </c>
      <c r="T165" s="21">
        <v>55711</v>
      </c>
      <c r="U165" s="21"/>
      <c r="V165" s="21">
        <v>2044</v>
      </c>
      <c r="W165" s="21"/>
      <c r="X165" s="21"/>
      <c r="Y165" s="21"/>
      <c r="Z165" s="19" t="s">
        <v>339</v>
      </c>
      <c r="AA165" s="19" t="s">
        <v>286</v>
      </c>
    </row>
    <row r="166" spans="1:27" s="3" customFormat="1" ht="37.5" x14ac:dyDescent="0.3">
      <c r="A166" s="7">
        <v>165</v>
      </c>
      <c r="B166" s="20" t="s">
        <v>68</v>
      </c>
      <c r="C166" s="51" t="s">
        <v>672</v>
      </c>
      <c r="D166" s="34" t="e">
        <f>VLOOKUP(I166,#REF!,14,0)</f>
        <v>#REF!</v>
      </c>
      <c r="E166" s="29" t="s">
        <v>416</v>
      </c>
      <c r="F166" s="19" t="s">
        <v>212</v>
      </c>
      <c r="G166" s="19" t="s">
        <v>8</v>
      </c>
      <c r="H166" s="19" t="s">
        <v>193</v>
      </c>
      <c r="I166" s="19" t="s">
        <v>212</v>
      </c>
      <c r="J166" s="19" t="s">
        <v>881</v>
      </c>
      <c r="K166" s="20" t="s">
        <v>1270</v>
      </c>
      <c r="L166" s="23">
        <v>59996</v>
      </c>
      <c r="M166" s="23">
        <v>166914</v>
      </c>
      <c r="N166" s="23">
        <v>166914</v>
      </c>
      <c r="O166" s="21">
        <v>310370</v>
      </c>
      <c r="P166" s="21">
        <v>213408</v>
      </c>
      <c r="Q166" s="21">
        <v>405475</v>
      </c>
      <c r="R166" s="21">
        <v>446602</v>
      </c>
      <c r="S166" s="21">
        <v>400334</v>
      </c>
      <c r="T166" s="21">
        <v>220406</v>
      </c>
      <c r="U166" s="21"/>
      <c r="V166" s="21">
        <v>2044</v>
      </c>
      <c r="W166" s="21"/>
      <c r="X166" s="21"/>
      <c r="Y166" s="21"/>
      <c r="Z166" s="19" t="s">
        <v>340</v>
      </c>
      <c r="AA166" s="19" t="s">
        <v>287</v>
      </c>
    </row>
    <row r="167" spans="1:27" s="3" customFormat="1" ht="37.5" x14ac:dyDescent="0.3">
      <c r="A167" s="7">
        <v>166</v>
      </c>
      <c r="B167" s="20" t="s">
        <v>68</v>
      </c>
      <c r="C167" s="51" t="s">
        <v>970</v>
      </c>
      <c r="D167" s="34" t="e">
        <f>VLOOKUP(I167,#REF!,14,0)</f>
        <v>#REF!</v>
      </c>
      <c r="E167" s="29" t="s">
        <v>416</v>
      </c>
      <c r="F167" s="19" t="s">
        <v>213</v>
      </c>
      <c r="G167" s="19" t="s">
        <v>8</v>
      </c>
      <c r="H167" s="19" t="s">
        <v>193</v>
      </c>
      <c r="I167" s="19" t="s">
        <v>213</v>
      </c>
      <c r="J167" s="19" t="s">
        <v>876</v>
      </c>
      <c r="K167" s="20" t="s">
        <v>1271</v>
      </c>
      <c r="L167" s="23">
        <v>6428</v>
      </c>
      <c r="M167" s="23">
        <v>12856</v>
      </c>
      <c r="N167" s="23">
        <v>12856</v>
      </c>
      <c r="O167" s="21">
        <v>62139</v>
      </c>
      <c r="P167" s="21">
        <v>151416</v>
      </c>
      <c r="Q167" s="21">
        <v>122634</v>
      </c>
      <c r="R167" s="21">
        <v>173556</v>
      </c>
      <c r="S167" s="21">
        <v>164700</v>
      </c>
      <c r="T167" s="21">
        <v>23570</v>
      </c>
      <c r="U167" s="21"/>
      <c r="V167" s="21"/>
      <c r="W167" s="21"/>
      <c r="X167" s="21"/>
      <c r="Y167" s="21"/>
      <c r="Z167" s="19" t="s">
        <v>341</v>
      </c>
      <c r="AA167" s="19" t="s">
        <v>288</v>
      </c>
    </row>
    <row r="168" spans="1:27" s="3" customFormat="1" ht="37.5" x14ac:dyDescent="0.3">
      <c r="A168" s="7">
        <v>167</v>
      </c>
      <c r="B168" s="20" t="s">
        <v>68</v>
      </c>
      <c r="C168" s="51" t="s">
        <v>965</v>
      </c>
      <c r="D168" s="34" t="e">
        <f>VLOOKUP(I168,#REF!,14,0)</f>
        <v>#REF!</v>
      </c>
      <c r="E168" s="29" t="s">
        <v>416</v>
      </c>
      <c r="F168" s="19" t="s">
        <v>214</v>
      </c>
      <c r="G168" s="19" t="s">
        <v>8</v>
      </c>
      <c r="H168" s="19" t="s">
        <v>193</v>
      </c>
      <c r="I168" s="19" t="s">
        <v>214</v>
      </c>
      <c r="J168" s="19" t="s">
        <v>867</v>
      </c>
      <c r="K168" s="20" t="s">
        <v>1272</v>
      </c>
      <c r="L168" s="23">
        <v>21427</v>
      </c>
      <c r="M168" s="23">
        <v>47140</v>
      </c>
      <c r="N168" s="23">
        <v>47140</v>
      </c>
      <c r="O168" s="21">
        <v>40712</v>
      </c>
      <c r="P168" s="21">
        <v>29998</v>
      </c>
      <c r="Q168" s="21">
        <v>10714</v>
      </c>
      <c r="R168" s="21">
        <v>171342</v>
      </c>
      <c r="S168" s="21">
        <v>271814</v>
      </c>
      <c r="T168" s="21">
        <v>87852</v>
      </c>
      <c r="U168" s="21"/>
      <c r="V168" s="21"/>
      <c r="W168" s="21"/>
      <c r="X168" s="21"/>
      <c r="Y168" s="21"/>
      <c r="Z168" s="19" t="s">
        <v>342</v>
      </c>
      <c r="AA168" s="19" t="s">
        <v>289</v>
      </c>
    </row>
    <row r="169" spans="1:27" s="3" customFormat="1" ht="37.5" x14ac:dyDescent="0.3">
      <c r="A169" s="7">
        <v>168</v>
      </c>
      <c r="B169" s="20" t="s">
        <v>68</v>
      </c>
      <c r="C169" s="51" t="s">
        <v>668</v>
      </c>
      <c r="D169" s="34" t="e">
        <f>VLOOKUP(I169,#REF!,14,0)</f>
        <v>#REF!</v>
      </c>
      <c r="E169" s="29" t="s">
        <v>416</v>
      </c>
      <c r="F169" s="19" t="s">
        <v>215</v>
      </c>
      <c r="G169" s="19" t="s">
        <v>8</v>
      </c>
      <c r="H169" s="19" t="s">
        <v>193</v>
      </c>
      <c r="I169" s="19" t="s">
        <v>215</v>
      </c>
      <c r="J169" s="19" t="s">
        <v>862</v>
      </c>
      <c r="K169" s="20" t="s">
        <v>1273</v>
      </c>
      <c r="L169" s="23">
        <v>72852</v>
      </c>
      <c r="M169" s="23">
        <v>129276</v>
      </c>
      <c r="N169" s="23">
        <v>129276</v>
      </c>
      <c r="O169" s="21">
        <v>271814</v>
      </c>
      <c r="P169" s="21">
        <v>400334</v>
      </c>
      <c r="Q169" s="21">
        <v>211194</v>
      </c>
      <c r="R169" s="21">
        <v>200124</v>
      </c>
      <c r="S169" s="21">
        <v>155844</v>
      </c>
      <c r="T169" s="21">
        <v>72852</v>
      </c>
      <c r="U169" s="21"/>
      <c r="V169" s="21"/>
      <c r="W169" s="21"/>
      <c r="X169" s="21"/>
      <c r="Y169" s="21"/>
      <c r="Z169" s="19" t="s">
        <v>343</v>
      </c>
      <c r="AA169" s="19" t="s">
        <v>290</v>
      </c>
    </row>
    <row r="170" spans="1:27" s="3" customFormat="1" ht="37.5" x14ac:dyDescent="0.3">
      <c r="A170" s="7">
        <v>169</v>
      </c>
      <c r="B170" s="20" t="s">
        <v>68</v>
      </c>
      <c r="C170" s="51" t="s">
        <v>1363</v>
      </c>
      <c r="D170" s="34" t="e">
        <f>VLOOKUP(I170,#REF!,14,0)</f>
        <v>#REF!</v>
      </c>
      <c r="E170" s="29" t="s">
        <v>416</v>
      </c>
      <c r="F170" s="19" t="s">
        <v>216</v>
      </c>
      <c r="G170" s="19" t="s">
        <v>8</v>
      </c>
      <c r="H170" s="19" t="s">
        <v>193</v>
      </c>
      <c r="I170" s="19" t="s">
        <v>216</v>
      </c>
      <c r="J170" s="19" t="s">
        <v>857</v>
      </c>
      <c r="K170" s="20" t="s">
        <v>1274</v>
      </c>
      <c r="L170" s="23">
        <v>408046</v>
      </c>
      <c r="M170" s="23">
        <v>549346</v>
      </c>
      <c r="N170" s="23">
        <v>549346</v>
      </c>
      <c r="O170" s="21">
        <v>623817</v>
      </c>
      <c r="P170" s="21">
        <v>555822</v>
      </c>
      <c r="Q170" s="21">
        <v>107136</v>
      </c>
      <c r="R170" s="21">
        <v>122634</v>
      </c>
      <c r="S170" s="21">
        <v>96422</v>
      </c>
      <c r="T170" s="21">
        <v>55711</v>
      </c>
      <c r="U170" s="21"/>
      <c r="V170" s="21">
        <v>2044</v>
      </c>
      <c r="W170" s="21"/>
      <c r="X170" s="21"/>
      <c r="Y170" s="21"/>
      <c r="Z170" s="19" t="s">
        <v>344</v>
      </c>
      <c r="AA170" s="19" t="s">
        <v>291</v>
      </c>
    </row>
    <row r="171" spans="1:27" s="3" customFormat="1" ht="37.5" x14ac:dyDescent="0.3">
      <c r="A171" s="7">
        <v>170</v>
      </c>
      <c r="B171" s="20" t="s">
        <v>68</v>
      </c>
      <c r="C171" s="51" t="s">
        <v>1012</v>
      </c>
      <c r="D171" s="34" t="e">
        <f>VLOOKUP(I171,#REF!,14,0)</f>
        <v>#REF!</v>
      </c>
      <c r="E171" s="29" t="s">
        <v>416</v>
      </c>
      <c r="F171" s="19" t="s">
        <v>210</v>
      </c>
      <c r="G171" s="19" t="s">
        <v>8</v>
      </c>
      <c r="H171" s="19" t="s">
        <v>193</v>
      </c>
      <c r="I171" s="19" t="s">
        <v>210</v>
      </c>
      <c r="J171" s="19" t="s">
        <v>895</v>
      </c>
      <c r="K171" s="20" t="s">
        <v>1275</v>
      </c>
      <c r="L171" s="23">
        <v>149202</v>
      </c>
      <c r="M171" s="23">
        <v>310370</v>
      </c>
      <c r="N171" s="23">
        <v>310370</v>
      </c>
      <c r="O171" s="21">
        <v>300089</v>
      </c>
      <c r="P171" s="21">
        <v>120420</v>
      </c>
      <c r="Q171" s="21">
        <v>175770</v>
      </c>
      <c r="R171" s="21">
        <v>195696</v>
      </c>
      <c r="S171" s="21">
        <v>271814</v>
      </c>
      <c r="T171" s="21">
        <v>92137</v>
      </c>
      <c r="U171" s="21"/>
      <c r="V171" s="21">
        <v>6133</v>
      </c>
      <c r="W171" s="21"/>
      <c r="X171" s="21"/>
      <c r="Y171" s="21"/>
      <c r="Z171" s="19" t="s">
        <v>338</v>
      </c>
      <c r="AA171" s="19" t="s">
        <v>285</v>
      </c>
    </row>
    <row r="172" spans="1:27" s="3" customFormat="1" ht="37.5" x14ac:dyDescent="0.3">
      <c r="A172" s="7">
        <v>171</v>
      </c>
      <c r="B172" s="20" t="s">
        <v>68</v>
      </c>
      <c r="C172" s="51" t="s">
        <v>971</v>
      </c>
      <c r="D172" s="34" t="e">
        <f>VLOOKUP(I172,#REF!,14,0)</f>
        <v>#REF!</v>
      </c>
      <c r="E172" s="29" t="s">
        <v>416</v>
      </c>
      <c r="F172" s="19" t="s">
        <v>217</v>
      </c>
      <c r="G172" s="19" t="s">
        <v>8</v>
      </c>
      <c r="H172" s="19" t="s">
        <v>193</v>
      </c>
      <c r="I172" s="19" t="s">
        <v>217</v>
      </c>
      <c r="J172" s="19" t="s">
        <v>851</v>
      </c>
      <c r="K172" s="20" t="s">
        <v>1276</v>
      </c>
      <c r="L172" s="23">
        <v>297518</v>
      </c>
      <c r="M172" s="23">
        <v>451742</v>
      </c>
      <c r="N172" s="23">
        <v>451742</v>
      </c>
      <c r="O172" s="21">
        <v>459454</v>
      </c>
      <c r="P172" s="21">
        <v>392623</v>
      </c>
      <c r="Q172" s="21">
        <v>320652</v>
      </c>
      <c r="R172" s="21">
        <v>151416</v>
      </c>
      <c r="S172" s="21">
        <v>107136</v>
      </c>
      <c r="T172" s="21">
        <v>77138</v>
      </c>
      <c r="U172" s="21"/>
      <c r="V172" s="21"/>
      <c r="W172" s="21"/>
      <c r="X172" s="21"/>
      <c r="Y172" s="21"/>
      <c r="Z172" s="19" t="s">
        <v>345</v>
      </c>
      <c r="AA172" s="19" t="s">
        <v>292</v>
      </c>
    </row>
    <row r="173" spans="1:27" s="3" customFormat="1" ht="37.5" x14ac:dyDescent="0.3">
      <c r="A173" s="7">
        <v>172</v>
      </c>
      <c r="B173" s="20" t="s">
        <v>68</v>
      </c>
      <c r="C173" s="51" t="s">
        <v>983</v>
      </c>
      <c r="D173" s="34" t="e">
        <f>VLOOKUP(I173,#REF!,14,0)</f>
        <v>#REF!</v>
      </c>
      <c r="E173" s="29" t="s">
        <v>416</v>
      </c>
      <c r="F173" s="19" t="s">
        <v>218</v>
      </c>
      <c r="G173" s="19" t="s">
        <v>8</v>
      </c>
      <c r="H173" s="19" t="s">
        <v>193</v>
      </c>
      <c r="I173" s="19" t="s">
        <v>218</v>
      </c>
      <c r="J173" s="19" t="s">
        <v>845</v>
      </c>
      <c r="K173" s="20" t="s">
        <v>1277</v>
      </c>
      <c r="L173" s="23">
        <v>151416</v>
      </c>
      <c r="M173" s="23">
        <v>274385</v>
      </c>
      <c r="N173" s="23">
        <v>274385</v>
      </c>
      <c r="O173" s="21">
        <v>343786</v>
      </c>
      <c r="P173" s="21">
        <v>222977</v>
      </c>
      <c r="Q173" s="21">
        <v>171342</v>
      </c>
      <c r="R173" s="21">
        <v>180198</v>
      </c>
      <c r="S173" s="21">
        <v>120420</v>
      </c>
      <c r="T173" s="21">
        <v>51425</v>
      </c>
      <c r="U173" s="21"/>
      <c r="V173" s="21"/>
      <c r="W173" s="21"/>
      <c r="X173" s="21"/>
      <c r="Y173" s="21"/>
      <c r="Z173" s="19" t="s">
        <v>346</v>
      </c>
      <c r="AA173" s="19" t="s">
        <v>293</v>
      </c>
    </row>
    <row r="174" spans="1:27" s="3" customFormat="1" ht="37.5" x14ac:dyDescent="0.3">
      <c r="A174" s="7">
        <v>173</v>
      </c>
      <c r="B174" s="20" t="s">
        <v>68</v>
      </c>
      <c r="C174" s="51" t="s">
        <v>967</v>
      </c>
      <c r="D174" s="34" t="e">
        <f>VLOOKUP(I174,#REF!,14,0)</f>
        <v>#REF!</v>
      </c>
      <c r="E174" s="29" t="s">
        <v>416</v>
      </c>
      <c r="F174" s="19" t="s">
        <v>219</v>
      </c>
      <c r="G174" s="19" t="s">
        <v>8</v>
      </c>
      <c r="H174" s="19" t="s">
        <v>193</v>
      </c>
      <c r="I174" s="19" t="s">
        <v>219</v>
      </c>
      <c r="J174" s="19" t="s">
        <v>838</v>
      </c>
      <c r="K174" s="20" t="s">
        <v>1278</v>
      </c>
      <c r="L174" s="23">
        <v>173556</v>
      </c>
      <c r="M174" s="23">
        <v>228118</v>
      </c>
      <c r="N174" s="23">
        <v>228118</v>
      </c>
      <c r="O174" s="21">
        <v>494303</v>
      </c>
      <c r="P174" s="21">
        <v>462024</v>
      </c>
      <c r="Q174" s="21">
        <v>361778</v>
      </c>
      <c r="R174" s="21">
        <v>420898</v>
      </c>
      <c r="S174" s="21">
        <v>410616</v>
      </c>
      <c r="T174" s="21">
        <v>276955</v>
      </c>
      <c r="U174" s="21"/>
      <c r="V174" s="21">
        <v>2044</v>
      </c>
      <c r="W174" s="21"/>
      <c r="X174" s="21"/>
      <c r="Y174" s="21"/>
      <c r="Z174" s="19">
        <v>1411162670</v>
      </c>
      <c r="AA174" s="19" t="s">
        <v>294</v>
      </c>
    </row>
    <row r="175" spans="1:27" s="3" customFormat="1" ht="37.5" x14ac:dyDescent="0.3">
      <c r="A175" s="7">
        <v>174</v>
      </c>
      <c r="B175" s="20" t="s">
        <v>68</v>
      </c>
      <c r="C175" s="51" t="s">
        <v>1007</v>
      </c>
      <c r="D175" s="34" t="e">
        <f>VLOOKUP(I175,#REF!,14,0)</f>
        <v>#REF!</v>
      </c>
      <c r="E175" s="29" t="s">
        <v>416</v>
      </c>
      <c r="F175" s="19" t="s">
        <v>220</v>
      </c>
      <c r="G175" s="19" t="s">
        <v>8</v>
      </c>
      <c r="H175" s="19" t="s">
        <v>193</v>
      </c>
      <c r="I175" s="19" t="s">
        <v>220</v>
      </c>
      <c r="J175" s="19" t="s">
        <v>898</v>
      </c>
      <c r="K175" s="20" t="s">
        <v>1279</v>
      </c>
      <c r="L175" s="23">
        <v>238399</v>
      </c>
      <c r="M175" s="23">
        <v>436320</v>
      </c>
      <c r="N175" s="23">
        <v>436320</v>
      </c>
      <c r="O175" s="21">
        <v>413186</v>
      </c>
      <c r="P175" s="21">
        <v>402905</v>
      </c>
      <c r="Q175" s="21">
        <v>346356</v>
      </c>
      <c r="R175" s="21">
        <v>374630</v>
      </c>
      <c r="S175" s="21">
        <v>374630</v>
      </c>
      <c r="T175" s="21">
        <v>193482</v>
      </c>
      <c r="U175" s="21">
        <v>2143</v>
      </c>
      <c r="V175" s="21"/>
      <c r="W175" s="21"/>
      <c r="X175" s="21"/>
      <c r="Y175" s="21"/>
      <c r="Z175" s="19" t="s">
        <v>347</v>
      </c>
      <c r="AA175" s="19" t="s">
        <v>295</v>
      </c>
    </row>
    <row r="176" spans="1:27" s="3" customFormat="1" ht="37.5" x14ac:dyDescent="0.3">
      <c r="A176" s="7">
        <v>175</v>
      </c>
      <c r="B176" s="20" t="s">
        <v>68</v>
      </c>
      <c r="C176" s="51" t="s">
        <v>1010</v>
      </c>
      <c r="D176" s="34" t="e">
        <f>VLOOKUP(I176,#REF!,14,0)</f>
        <v>#REF!</v>
      </c>
      <c r="E176" s="29" t="s">
        <v>416</v>
      </c>
      <c r="F176" s="19" t="s">
        <v>221</v>
      </c>
      <c r="G176" s="19" t="s">
        <v>8</v>
      </c>
      <c r="H176" s="19" t="s">
        <v>193</v>
      </c>
      <c r="I176" s="19" t="s">
        <v>221</v>
      </c>
      <c r="J176" s="19" t="s">
        <v>891</v>
      </c>
      <c r="K176" s="20" t="s">
        <v>1280</v>
      </c>
      <c r="L176" s="23">
        <v>282096</v>
      </c>
      <c r="M176" s="23">
        <v>428609</v>
      </c>
      <c r="N176" s="23">
        <v>428609</v>
      </c>
      <c r="O176" s="21">
        <v>256392</v>
      </c>
      <c r="P176" s="21">
        <v>246110</v>
      </c>
      <c r="Q176" s="21">
        <v>155844</v>
      </c>
      <c r="R176" s="21">
        <v>177984</v>
      </c>
      <c r="S176" s="21">
        <v>256392</v>
      </c>
      <c r="T176" s="21">
        <v>120420</v>
      </c>
      <c r="U176" s="21">
        <v>4187</v>
      </c>
      <c r="V176" s="21"/>
      <c r="W176" s="21"/>
      <c r="X176" s="21"/>
      <c r="Y176" s="21"/>
      <c r="Z176" s="19" t="s">
        <v>348</v>
      </c>
      <c r="AA176" s="19" t="s">
        <v>296</v>
      </c>
    </row>
    <row r="177" spans="1:29" s="3" customFormat="1" ht="37.5" x14ac:dyDescent="0.3">
      <c r="A177" s="7">
        <v>176</v>
      </c>
      <c r="B177" s="20" t="s">
        <v>68</v>
      </c>
      <c r="C177" s="51" t="s">
        <v>1009</v>
      </c>
      <c r="D177" s="34" t="e">
        <f>VLOOKUP(I177,#REF!,14,0)</f>
        <v>#REF!</v>
      </c>
      <c r="E177" s="29" t="s">
        <v>416</v>
      </c>
      <c r="F177" s="19" t="s">
        <v>222</v>
      </c>
      <c r="G177" s="19" t="s">
        <v>8</v>
      </c>
      <c r="H177" s="19" t="s">
        <v>193</v>
      </c>
      <c r="I177" s="19" t="s">
        <v>222</v>
      </c>
      <c r="J177" s="19" t="s">
        <v>884</v>
      </c>
      <c r="K177" s="20" t="s">
        <v>1281</v>
      </c>
      <c r="L177" s="23">
        <v>269244</v>
      </c>
      <c r="M177" s="23">
        <v>775995</v>
      </c>
      <c r="N177" s="23">
        <v>775995</v>
      </c>
      <c r="O177" s="21">
        <v>446602</v>
      </c>
      <c r="P177" s="21">
        <v>305230</v>
      </c>
      <c r="Q177" s="21">
        <v>294948</v>
      </c>
      <c r="R177" s="21">
        <v>180198</v>
      </c>
      <c r="S177" s="21">
        <v>171342</v>
      </c>
      <c r="T177" s="21">
        <v>177984</v>
      </c>
      <c r="U177" s="21">
        <v>182137</v>
      </c>
      <c r="V177" s="21">
        <v>34755</v>
      </c>
      <c r="W177" s="21"/>
      <c r="X177" s="21"/>
      <c r="Y177" s="21"/>
      <c r="Z177" s="19" t="s">
        <v>349</v>
      </c>
      <c r="AA177" s="19" t="s">
        <v>297</v>
      </c>
    </row>
    <row r="178" spans="1:29" s="3" customFormat="1" ht="37.5" x14ac:dyDescent="0.3">
      <c r="A178" s="7">
        <v>177</v>
      </c>
      <c r="B178" s="20" t="s">
        <v>68</v>
      </c>
      <c r="C178" s="51" t="s">
        <v>986</v>
      </c>
      <c r="D178" s="34" t="e">
        <f>VLOOKUP(I178,#REF!,14,0)</f>
        <v>#REF!</v>
      </c>
      <c r="E178" s="29" t="s">
        <v>416</v>
      </c>
      <c r="F178" s="19" t="s">
        <v>223</v>
      </c>
      <c r="G178" s="19" t="s">
        <v>8</v>
      </c>
      <c r="H178" s="19" t="s">
        <v>193</v>
      </c>
      <c r="I178" s="19" t="s">
        <v>223</v>
      </c>
      <c r="J178" s="19" t="s">
        <v>871</v>
      </c>
      <c r="K178" s="20" t="s">
        <v>1282</v>
      </c>
      <c r="L178" s="23">
        <v>153630</v>
      </c>
      <c r="M178" s="23">
        <v>507254</v>
      </c>
      <c r="N178" s="23">
        <v>507254</v>
      </c>
      <c r="O178" s="21">
        <v>494303</v>
      </c>
      <c r="P178" s="21">
        <v>392623</v>
      </c>
      <c r="Q178" s="21">
        <v>346356</v>
      </c>
      <c r="R178" s="21">
        <v>415757</v>
      </c>
      <c r="S178" s="21">
        <v>405475</v>
      </c>
      <c r="T178" s="21">
        <v>338645</v>
      </c>
      <c r="U178" s="21">
        <v>127599</v>
      </c>
      <c r="V178" s="21"/>
      <c r="W178" s="21"/>
      <c r="X178" s="21"/>
      <c r="Y178" s="21"/>
      <c r="Z178" s="19" t="s">
        <v>350</v>
      </c>
      <c r="AA178" s="19" t="s">
        <v>298</v>
      </c>
    </row>
    <row r="179" spans="1:29" s="3" customFormat="1" ht="37.5" x14ac:dyDescent="0.3">
      <c r="A179" s="7">
        <v>178</v>
      </c>
      <c r="B179" s="20" t="s">
        <v>68</v>
      </c>
      <c r="C179" s="51" t="s">
        <v>996</v>
      </c>
      <c r="D179" s="34" t="e">
        <f>VLOOKUP(I179,#REF!,14,0)</f>
        <v>#REF!</v>
      </c>
      <c r="E179" s="29" t="s">
        <v>416</v>
      </c>
      <c r="F179" s="19" t="s">
        <v>224</v>
      </c>
      <c r="G179" s="19" t="s">
        <v>8</v>
      </c>
      <c r="H179" s="19" t="s">
        <v>193</v>
      </c>
      <c r="I179" s="19" t="s">
        <v>224</v>
      </c>
      <c r="J179" s="19" t="s">
        <v>683</v>
      </c>
      <c r="K179" s="20" t="s">
        <v>1283</v>
      </c>
      <c r="L179" s="23">
        <v>433750</v>
      </c>
      <c r="M179" s="23">
        <v>750092</v>
      </c>
      <c r="N179" s="23">
        <v>750092</v>
      </c>
      <c r="O179" s="21">
        <v>1008504</v>
      </c>
      <c r="P179" s="21">
        <v>954234</v>
      </c>
      <c r="Q179" s="21">
        <v>845694</v>
      </c>
      <c r="R179" s="21">
        <v>1051920</v>
      </c>
      <c r="S179" s="21">
        <v>659433</v>
      </c>
      <c r="T179" s="21">
        <v>297518</v>
      </c>
      <c r="U179" s="21">
        <v>101475</v>
      </c>
      <c r="V179" s="21"/>
      <c r="W179" s="21"/>
      <c r="X179" s="21"/>
      <c r="Y179" s="21"/>
      <c r="Z179" s="19" t="s">
        <v>351</v>
      </c>
      <c r="AA179" s="19" t="s">
        <v>299</v>
      </c>
    </row>
    <row r="180" spans="1:29" s="3" customFormat="1" ht="37.5" x14ac:dyDescent="0.3">
      <c r="A180" s="7">
        <v>179</v>
      </c>
      <c r="B180" s="20" t="s">
        <v>68</v>
      </c>
      <c r="C180" s="51" t="s">
        <v>1008</v>
      </c>
      <c r="D180" s="34" t="e">
        <f>VLOOKUP(I180,#REF!,14,0)</f>
        <v>#REF!</v>
      </c>
      <c r="E180" s="29" t="s">
        <v>416</v>
      </c>
      <c r="F180" s="19" t="s">
        <v>225</v>
      </c>
      <c r="G180" s="19" t="s">
        <v>8</v>
      </c>
      <c r="H180" s="19" t="s">
        <v>193</v>
      </c>
      <c r="I180" s="19" t="s">
        <v>225</v>
      </c>
      <c r="J180" s="19" t="s">
        <v>690</v>
      </c>
      <c r="K180" s="20" t="s">
        <v>1284</v>
      </c>
      <c r="L180" s="23">
        <v>656195</v>
      </c>
      <c r="M180" s="23">
        <v>2662654</v>
      </c>
      <c r="N180" s="23">
        <v>2662654</v>
      </c>
      <c r="O180" s="21">
        <v>3436171</v>
      </c>
      <c r="P180" s="21">
        <v>3716431</v>
      </c>
      <c r="Q180" s="21">
        <v>3339014</v>
      </c>
      <c r="R180" s="21">
        <v>2629022</v>
      </c>
      <c r="S180" s="21">
        <v>2296447</v>
      </c>
      <c r="T180" s="21">
        <v>2143238</v>
      </c>
      <c r="U180" s="21">
        <v>1539653</v>
      </c>
      <c r="V180" s="21">
        <v>355007</v>
      </c>
      <c r="W180" s="21"/>
      <c r="X180" s="21"/>
      <c r="Y180" s="21"/>
      <c r="Z180" s="19" t="s">
        <v>352</v>
      </c>
      <c r="AA180" s="19" t="s">
        <v>300</v>
      </c>
    </row>
    <row r="181" spans="1:29" s="15" customFormat="1" ht="37.5" x14ac:dyDescent="0.3">
      <c r="A181" s="7">
        <v>180</v>
      </c>
      <c r="B181" s="32" t="s">
        <v>68</v>
      </c>
      <c r="C181" s="59" t="s">
        <v>975</v>
      </c>
      <c r="D181" s="49" t="e">
        <f>VLOOKUP(I181,#REF!,14,0)</f>
        <v>#REF!</v>
      </c>
      <c r="E181" s="8" t="s">
        <v>135</v>
      </c>
      <c r="F181" s="10" t="s">
        <v>226</v>
      </c>
      <c r="G181" s="10" t="s">
        <v>8</v>
      </c>
      <c r="H181" s="10" t="s">
        <v>193</v>
      </c>
      <c r="I181" s="10" t="s">
        <v>226</v>
      </c>
      <c r="J181" s="10" t="s">
        <v>850</v>
      </c>
      <c r="K181" s="32" t="s">
        <v>1285</v>
      </c>
      <c r="L181" s="68"/>
      <c r="M181" s="68"/>
      <c r="N181" s="68"/>
      <c r="O181" s="35"/>
      <c r="P181" s="35"/>
      <c r="Q181" s="18">
        <v>36426</v>
      </c>
      <c r="R181" s="10"/>
      <c r="S181" s="35"/>
      <c r="T181" s="17">
        <v>14999</v>
      </c>
      <c r="U181" s="35"/>
      <c r="V181" s="35"/>
      <c r="W181" s="35"/>
      <c r="X181" s="35"/>
      <c r="Y181" s="35"/>
      <c r="Z181" s="10" t="s">
        <v>353</v>
      </c>
      <c r="AA181" s="10" t="s">
        <v>301</v>
      </c>
    </row>
    <row r="182" spans="1:29" s="13" customFormat="1" ht="37.5" x14ac:dyDescent="0.3">
      <c r="A182" s="7">
        <v>181</v>
      </c>
      <c r="B182" s="26" t="s">
        <v>68</v>
      </c>
      <c r="C182" s="58" t="s">
        <v>1019</v>
      </c>
      <c r="D182" s="50" t="e">
        <f>VLOOKUP(I182,#REF!,14,0)</f>
        <v>#REF!</v>
      </c>
      <c r="E182" s="25" t="s">
        <v>415</v>
      </c>
      <c r="F182" s="25" t="s">
        <v>227</v>
      </c>
      <c r="G182" s="25" t="s">
        <v>8</v>
      </c>
      <c r="H182" s="25" t="s">
        <v>193</v>
      </c>
      <c r="I182" s="25" t="s">
        <v>227</v>
      </c>
      <c r="J182" s="25" t="s">
        <v>900</v>
      </c>
      <c r="K182" s="26" t="s">
        <v>1286</v>
      </c>
      <c r="L182" s="69">
        <v>1459404</v>
      </c>
      <c r="M182" s="69">
        <v>55711</v>
      </c>
      <c r="N182" s="69">
        <v>55711</v>
      </c>
      <c r="O182" s="17">
        <v>2143</v>
      </c>
      <c r="P182" s="27"/>
      <c r="Q182" s="27">
        <v>36426</v>
      </c>
      <c r="R182" s="25"/>
      <c r="S182" s="27"/>
      <c r="T182" s="27">
        <v>8571</v>
      </c>
      <c r="U182" s="27"/>
      <c r="V182" s="27"/>
      <c r="W182" s="27"/>
      <c r="X182" s="27"/>
      <c r="Y182" s="27"/>
      <c r="Z182" s="25" t="s">
        <v>354</v>
      </c>
      <c r="AA182" s="25" t="s">
        <v>302</v>
      </c>
    </row>
    <row r="183" spans="1:29" s="15" customFormat="1" ht="37.5" x14ac:dyDescent="0.3">
      <c r="A183" s="7">
        <v>182</v>
      </c>
      <c r="B183" s="32" t="s">
        <v>68</v>
      </c>
      <c r="C183" s="59" t="s">
        <v>999</v>
      </c>
      <c r="D183" s="49" t="e">
        <f>VLOOKUP(I183,#REF!,14,0)</f>
        <v>#REF!</v>
      </c>
      <c r="E183" s="8" t="s">
        <v>135</v>
      </c>
      <c r="F183" s="10" t="s">
        <v>228</v>
      </c>
      <c r="G183" s="10" t="s">
        <v>8</v>
      </c>
      <c r="H183" s="10" t="s">
        <v>193</v>
      </c>
      <c r="I183" s="10" t="s">
        <v>228</v>
      </c>
      <c r="J183" s="10" t="s">
        <v>836</v>
      </c>
      <c r="K183" s="32" t="s">
        <v>1287</v>
      </c>
      <c r="L183" s="68"/>
      <c r="M183" s="68"/>
      <c r="N183" s="68"/>
      <c r="O183" s="18">
        <v>2143</v>
      </c>
      <c r="P183" s="18">
        <v>14999</v>
      </c>
      <c r="Q183" s="18">
        <v>34284</v>
      </c>
      <c r="R183" s="10"/>
      <c r="S183" s="35"/>
      <c r="T183" s="17">
        <v>8571</v>
      </c>
      <c r="U183" s="35"/>
      <c r="V183" s="35"/>
      <c r="W183" s="35"/>
      <c r="X183" s="35"/>
      <c r="Y183" s="35"/>
      <c r="Z183" s="10" t="s">
        <v>355</v>
      </c>
      <c r="AA183" s="10" t="s">
        <v>303</v>
      </c>
    </row>
    <row r="184" spans="1:29" s="15" customFormat="1" ht="37.5" x14ac:dyDescent="0.3">
      <c r="A184" s="7">
        <v>183</v>
      </c>
      <c r="B184" s="32" t="s">
        <v>68</v>
      </c>
      <c r="C184" s="59" t="s">
        <v>1017</v>
      </c>
      <c r="D184" s="49" t="e">
        <f>VLOOKUP(I184,#REF!,14,0)</f>
        <v>#REF!</v>
      </c>
      <c r="E184" s="8" t="s">
        <v>135</v>
      </c>
      <c r="F184" s="10" t="s">
        <v>229</v>
      </c>
      <c r="G184" s="10" t="s">
        <v>8</v>
      </c>
      <c r="H184" s="10" t="s">
        <v>193</v>
      </c>
      <c r="I184" s="10" t="s">
        <v>229</v>
      </c>
      <c r="J184" s="10" t="s">
        <v>896</v>
      </c>
      <c r="K184" s="32" t="s">
        <v>1288</v>
      </c>
      <c r="L184" s="69">
        <v>17142</v>
      </c>
      <c r="M184" s="69">
        <v>21427</v>
      </c>
      <c r="N184" s="69">
        <v>21427</v>
      </c>
      <c r="O184" s="18">
        <v>19284</v>
      </c>
      <c r="P184" s="18">
        <v>19284</v>
      </c>
      <c r="Q184" s="18">
        <v>47140</v>
      </c>
      <c r="R184" s="10"/>
      <c r="S184" s="35"/>
      <c r="T184" s="17">
        <v>10714</v>
      </c>
      <c r="U184" s="35"/>
      <c r="V184" s="35"/>
      <c r="W184" s="35"/>
      <c r="X184" s="35"/>
      <c r="Y184" s="35"/>
      <c r="Z184" s="10" t="s">
        <v>356</v>
      </c>
      <c r="AA184" s="10" t="s">
        <v>304</v>
      </c>
    </row>
    <row r="185" spans="1:29" s="15" customFormat="1" ht="37.5" x14ac:dyDescent="0.3">
      <c r="A185" s="7">
        <v>184</v>
      </c>
      <c r="B185" s="32" t="s">
        <v>68</v>
      </c>
      <c r="C185" s="59" t="s">
        <v>985</v>
      </c>
      <c r="D185" s="49" t="e">
        <f>VLOOKUP(I185,#REF!,14,0)</f>
        <v>#REF!</v>
      </c>
      <c r="E185" s="8" t="s">
        <v>135</v>
      </c>
      <c r="F185" s="10" t="s">
        <v>230</v>
      </c>
      <c r="G185" s="10" t="s">
        <v>8</v>
      </c>
      <c r="H185" s="10" t="s">
        <v>193</v>
      </c>
      <c r="I185" s="10" t="s">
        <v>230</v>
      </c>
      <c r="J185" s="10" t="s">
        <v>889</v>
      </c>
      <c r="K185" s="32" t="s">
        <v>1289</v>
      </c>
      <c r="L185" s="68"/>
      <c r="M185" s="68"/>
      <c r="N185" s="68"/>
      <c r="O185" s="35"/>
      <c r="P185" s="35"/>
      <c r="Q185" s="18">
        <v>25713</v>
      </c>
      <c r="R185" s="10"/>
      <c r="S185" s="35"/>
      <c r="T185" s="17">
        <v>6428</v>
      </c>
      <c r="U185" s="35"/>
      <c r="V185" s="17">
        <v>2044</v>
      </c>
      <c r="W185" s="35"/>
      <c r="X185" s="35"/>
      <c r="Y185" s="35"/>
      <c r="Z185" s="10" t="s">
        <v>357</v>
      </c>
      <c r="AA185" s="10" t="s">
        <v>305</v>
      </c>
    </row>
    <row r="186" spans="1:29" s="15" customFormat="1" ht="37.5" x14ac:dyDescent="0.3">
      <c r="A186" s="7">
        <v>185</v>
      </c>
      <c r="B186" s="32" t="s">
        <v>68</v>
      </c>
      <c r="C186" s="59" t="s">
        <v>676</v>
      </c>
      <c r="D186" s="49" t="e">
        <f>VLOOKUP(I186,#REF!,14,0)</f>
        <v>#REF!</v>
      </c>
      <c r="E186" s="8" t="s">
        <v>135</v>
      </c>
      <c r="F186" s="10" t="s">
        <v>231</v>
      </c>
      <c r="G186" s="10" t="s">
        <v>8</v>
      </c>
      <c r="H186" s="10" t="s">
        <v>193</v>
      </c>
      <c r="I186" s="10" t="s">
        <v>231</v>
      </c>
      <c r="J186" s="10" t="s">
        <v>882</v>
      </c>
      <c r="K186" s="32" t="s">
        <v>1290</v>
      </c>
      <c r="L186" s="68"/>
      <c r="M186" s="68"/>
      <c r="N186" s="68"/>
      <c r="O186" s="35"/>
      <c r="P186" s="35"/>
      <c r="Q186" s="18">
        <v>21427</v>
      </c>
      <c r="R186" s="10"/>
      <c r="S186" s="35"/>
      <c r="T186" s="17">
        <v>8571</v>
      </c>
      <c r="U186" s="35"/>
      <c r="V186" s="35"/>
      <c r="W186" s="35"/>
      <c r="X186" s="35"/>
      <c r="Y186" s="35"/>
      <c r="Z186" s="10" t="s">
        <v>358</v>
      </c>
      <c r="AA186" s="10" t="s">
        <v>306</v>
      </c>
    </row>
    <row r="187" spans="1:29" s="15" customFormat="1" ht="37.5" x14ac:dyDescent="0.3">
      <c r="A187" s="7">
        <v>186</v>
      </c>
      <c r="B187" s="32" t="s">
        <v>68</v>
      </c>
      <c r="C187" s="59" t="s">
        <v>1364</v>
      </c>
      <c r="D187" s="49" t="e">
        <f>VLOOKUP(I187,#REF!,14,0)</f>
        <v>#REF!</v>
      </c>
      <c r="E187" s="8" t="s">
        <v>135</v>
      </c>
      <c r="F187" s="10" t="s">
        <v>232</v>
      </c>
      <c r="G187" s="10" t="s">
        <v>8</v>
      </c>
      <c r="H187" s="10" t="s">
        <v>193</v>
      </c>
      <c r="I187" s="10" t="s">
        <v>232</v>
      </c>
      <c r="J187" s="10" t="s">
        <v>686</v>
      </c>
      <c r="K187" s="32" t="s">
        <v>1291</v>
      </c>
      <c r="L187" s="68"/>
      <c r="M187" s="68"/>
      <c r="N187" s="68"/>
      <c r="O187" s="17">
        <v>2143</v>
      </c>
      <c r="P187" s="17">
        <v>14999</v>
      </c>
      <c r="Q187" s="17">
        <v>12856</v>
      </c>
      <c r="R187" s="17">
        <v>14999</v>
      </c>
      <c r="S187" s="17">
        <v>12856</v>
      </c>
      <c r="T187" s="17">
        <v>19284</v>
      </c>
      <c r="U187" s="35"/>
      <c r="V187" s="35"/>
      <c r="W187" s="35"/>
      <c r="X187" s="35"/>
      <c r="Y187" s="35"/>
      <c r="Z187" s="10">
        <v>11435114</v>
      </c>
      <c r="AA187" s="10" t="s">
        <v>307</v>
      </c>
    </row>
    <row r="188" spans="1:29" s="15" customFormat="1" ht="37.5" x14ac:dyDescent="0.3">
      <c r="A188" s="7">
        <v>187</v>
      </c>
      <c r="B188" s="32" t="s">
        <v>68</v>
      </c>
      <c r="C188" s="59" t="s">
        <v>990</v>
      </c>
      <c r="D188" s="49" t="e">
        <f>VLOOKUP(I188,#REF!,14,0)</f>
        <v>#REF!</v>
      </c>
      <c r="E188" s="8" t="s">
        <v>135</v>
      </c>
      <c r="F188" s="10" t="s">
        <v>233</v>
      </c>
      <c r="G188" s="10" t="s">
        <v>8</v>
      </c>
      <c r="H188" s="10" t="s">
        <v>193</v>
      </c>
      <c r="I188" s="10" t="s">
        <v>233</v>
      </c>
      <c r="J188" s="10" t="s">
        <v>868</v>
      </c>
      <c r="K188" s="32" t="s">
        <v>1292</v>
      </c>
      <c r="L188" s="68"/>
      <c r="M188" s="68"/>
      <c r="N188" s="68"/>
      <c r="O188" s="18">
        <v>2143</v>
      </c>
      <c r="P188" s="18">
        <v>8571</v>
      </c>
      <c r="Q188" s="18">
        <v>32141</v>
      </c>
      <c r="R188" s="10"/>
      <c r="S188" s="35"/>
      <c r="T188" s="17">
        <v>6428</v>
      </c>
      <c r="U188" s="35"/>
      <c r="V188" s="17">
        <v>2044</v>
      </c>
      <c r="W188" s="35"/>
      <c r="X188" s="35"/>
      <c r="Y188" s="35"/>
      <c r="Z188" s="10" t="s">
        <v>359</v>
      </c>
      <c r="AA188" s="10" t="s">
        <v>308</v>
      </c>
    </row>
    <row r="189" spans="1:29" s="13" customFormat="1" ht="37.5" x14ac:dyDescent="0.3">
      <c r="A189" s="7">
        <v>188</v>
      </c>
      <c r="B189" s="26" t="s">
        <v>68</v>
      </c>
      <c r="C189" s="58" t="s">
        <v>984</v>
      </c>
      <c r="D189" s="50" t="e">
        <f>VLOOKUP(I189,#REF!,14,0)</f>
        <v>#REF!</v>
      </c>
      <c r="E189" s="26" t="s">
        <v>1023</v>
      </c>
      <c r="F189" s="25" t="s">
        <v>234</v>
      </c>
      <c r="G189" s="25" t="s">
        <v>8</v>
      </c>
      <c r="H189" s="25" t="s">
        <v>193</v>
      </c>
      <c r="I189" s="25" t="s">
        <v>234</v>
      </c>
      <c r="J189" s="25" t="s">
        <v>863</v>
      </c>
      <c r="K189" s="26" t="s">
        <v>1293</v>
      </c>
      <c r="L189" s="69">
        <v>312941</v>
      </c>
      <c r="M189" s="69">
        <v>359208</v>
      </c>
      <c r="N189" s="69">
        <v>359208</v>
      </c>
      <c r="O189" s="18">
        <v>785709</v>
      </c>
      <c r="P189" s="18">
        <v>813132</v>
      </c>
      <c r="Q189" s="18">
        <v>312941</v>
      </c>
      <c r="R189" s="25"/>
      <c r="S189" s="27"/>
      <c r="T189" s="18">
        <v>8571</v>
      </c>
      <c r="U189" s="27"/>
      <c r="V189" s="27"/>
      <c r="W189" s="27"/>
      <c r="X189" s="27"/>
      <c r="Y189" s="27"/>
      <c r="Z189" s="25" t="s">
        <v>360</v>
      </c>
      <c r="AA189" s="25" t="s">
        <v>309</v>
      </c>
      <c r="AC189" s="67"/>
    </row>
    <row r="190" spans="1:29" s="13" customFormat="1" ht="37.5" x14ac:dyDescent="0.3">
      <c r="A190" s="7">
        <v>189</v>
      </c>
      <c r="B190" s="26" t="s">
        <v>68</v>
      </c>
      <c r="C190" s="58" t="s">
        <v>992</v>
      </c>
      <c r="D190" s="50" t="e">
        <f>VLOOKUP(I190,#REF!,14,0)</f>
        <v>#REF!</v>
      </c>
      <c r="E190" s="26" t="s">
        <v>1023</v>
      </c>
      <c r="F190" s="25" t="s">
        <v>235</v>
      </c>
      <c r="G190" s="25" t="s">
        <v>8</v>
      </c>
      <c r="H190" s="25" t="s">
        <v>193</v>
      </c>
      <c r="I190" s="25" t="s">
        <v>235</v>
      </c>
      <c r="J190" s="25" t="s">
        <v>858</v>
      </c>
      <c r="K190" s="26" t="s">
        <v>1294</v>
      </c>
      <c r="L190" s="69">
        <v>536395</v>
      </c>
      <c r="M190" s="69">
        <v>572011</v>
      </c>
      <c r="N190" s="69">
        <v>572011</v>
      </c>
      <c r="O190" s="18">
        <v>1066392</v>
      </c>
      <c r="P190" s="18">
        <v>1142370</v>
      </c>
      <c r="Q190" s="18">
        <v>464594</v>
      </c>
      <c r="R190" s="25"/>
      <c r="S190" s="18">
        <v>87852</v>
      </c>
      <c r="T190" s="27"/>
      <c r="U190" s="27"/>
      <c r="V190" s="18">
        <v>2044</v>
      </c>
      <c r="W190" s="27"/>
      <c r="X190" s="27"/>
      <c r="Y190" s="27"/>
      <c r="Z190" s="25" t="s">
        <v>361</v>
      </c>
      <c r="AA190" s="25" t="s">
        <v>310</v>
      </c>
    </row>
    <row r="191" spans="1:29" s="13" customFormat="1" ht="37.5" x14ac:dyDescent="0.3">
      <c r="A191" s="7">
        <v>190</v>
      </c>
      <c r="B191" s="26" t="s">
        <v>68</v>
      </c>
      <c r="C191" s="58" t="s">
        <v>700</v>
      </c>
      <c r="D191" s="50" t="e">
        <f>VLOOKUP(I191,#REF!,14,0)</f>
        <v>#REF!</v>
      </c>
      <c r="E191" s="26" t="s">
        <v>1023</v>
      </c>
      <c r="F191" s="25" t="s">
        <v>236</v>
      </c>
      <c r="G191" s="25" t="s">
        <v>8</v>
      </c>
      <c r="H191" s="25" t="s">
        <v>193</v>
      </c>
      <c r="I191" s="25" t="s">
        <v>236</v>
      </c>
      <c r="J191" s="25" t="s">
        <v>849</v>
      </c>
      <c r="K191" s="26" t="s">
        <v>1295</v>
      </c>
      <c r="L191" s="69">
        <v>258962</v>
      </c>
      <c r="M191" s="69">
        <v>420898</v>
      </c>
      <c r="N191" s="69">
        <v>420898</v>
      </c>
      <c r="O191" s="18">
        <v>669146</v>
      </c>
      <c r="P191" s="18">
        <v>727428</v>
      </c>
      <c r="Q191" s="18">
        <v>333504</v>
      </c>
      <c r="R191" s="18">
        <v>2143</v>
      </c>
      <c r="S191" s="18">
        <v>89994</v>
      </c>
      <c r="T191" s="27"/>
      <c r="U191" s="27"/>
      <c r="V191" s="18">
        <v>2044</v>
      </c>
      <c r="W191" s="27"/>
      <c r="X191" s="27"/>
      <c r="Y191" s="27"/>
      <c r="Z191" s="25" t="s">
        <v>362</v>
      </c>
      <c r="AA191" s="25" t="s">
        <v>311</v>
      </c>
    </row>
    <row r="192" spans="1:29" s="13" customFormat="1" ht="37.5" x14ac:dyDescent="0.3">
      <c r="A192" s="7">
        <v>191</v>
      </c>
      <c r="B192" s="26" t="s">
        <v>68</v>
      </c>
      <c r="C192" s="58" t="s">
        <v>973</v>
      </c>
      <c r="D192" s="50" t="e">
        <f>VLOOKUP(I192,#REF!,14,0)</f>
        <v>#REF!</v>
      </c>
      <c r="E192" s="26" t="s">
        <v>1023</v>
      </c>
      <c r="F192" s="25" t="s">
        <v>237</v>
      </c>
      <c r="G192" s="25" t="s">
        <v>8</v>
      </c>
      <c r="H192" s="25" t="s">
        <v>193</v>
      </c>
      <c r="I192" s="25" t="s">
        <v>237</v>
      </c>
      <c r="J192" s="25" t="s">
        <v>843</v>
      </c>
      <c r="K192" s="26" t="s">
        <v>1296</v>
      </c>
      <c r="L192" s="69">
        <v>581725</v>
      </c>
      <c r="M192" s="69">
        <v>994032</v>
      </c>
      <c r="N192" s="69">
        <v>994032</v>
      </c>
      <c r="O192" s="18">
        <v>1066392</v>
      </c>
      <c r="P192" s="18">
        <v>946998</v>
      </c>
      <c r="Q192" s="18">
        <v>559060</v>
      </c>
      <c r="R192" s="18">
        <v>2143</v>
      </c>
      <c r="S192" s="18">
        <v>2143</v>
      </c>
      <c r="T192" s="18">
        <v>14999</v>
      </c>
      <c r="U192" s="27"/>
      <c r="V192" s="18">
        <v>2044</v>
      </c>
      <c r="W192" s="27"/>
      <c r="X192" s="27"/>
      <c r="Y192" s="27"/>
      <c r="Z192" s="25" t="s">
        <v>363</v>
      </c>
      <c r="AA192" s="25" t="s">
        <v>312</v>
      </c>
    </row>
    <row r="193" spans="1:29" s="13" customFormat="1" ht="37.5" x14ac:dyDescent="0.3">
      <c r="A193" s="7">
        <v>192</v>
      </c>
      <c r="B193" s="26" t="s">
        <v>68</v>
      </c>
      <c r="C193" s="58" t="s">
        <v>989</v>
      </c>
      <c r="D193" s="50" t="e">
        <f>VLOOKUP(I193,#REF!,14,0)</f>
        <v>#REF!</v>
      </c>
      <c r="E193" s="26" t="s">
        <v>1023</v>
      </c>
      <c r="F193" s="25" t="s">
        <v>238</v>
      </c>
      <c r="G193" s="25" t="s">
        <v>8</v>
      </c>
      <c r="H193" s="25" t="s">
        <v>193</v>
      </c>
      <c r="I193" s="25" t="s">
        <v>238</v>
      </c>
      <c r="J193" s="25" t="s">
        <v>835</v>
      </c>
      <c r="K193" s="26" t="s">
        <v>1297</v>
      </c>
      <c r="L193" s="69">
        <v>274385</v>
      </c>
      <c r="M193" s="69">
        <v>630292</v>
      </c>
      <c r="N193" s="69">
        <v>630292</v>
      </c>
      <c r="O193" s="18">
        <v>842076</v>
      </c>
      <c r="P193" s="18">
        <v>954234</v>
      </c>
      <c r="Q193" s="18">
        <v>549346</v>
      </c>
      <c r="R193" s="18">
        <v>8571</v>
      </c>
      <c r="S193" s="18">
        <v>10714</v>
      </c>
      <c r="T193" s="18">
        <v>17142</v>
      </c>
      <c r="U193" s="18">
        <v>10615</v>
      </c>
      <c r="V193" s="18">
        <v>6133</v>
      </c>
      <c r="W193" s="27"/>
      <c r="X193" s="27"/>
      <c r="Y193" s="27"/>
      <c r="Z193" s="25" t="s">
        <v>364</v>
      </c>
      <c r="AA193" s="25" t="s">
        <v>313</v>
      </c>
    </row>
    <row r="194" spans="1:29" s="13" customFormat="1" ht="37.5" x14ac:dyDescent="0.3">
      <c r="A194" s="7">
        <v>193</v>
      </c>
      <c r="B194" s="26" t="s">
        <v>68</v>
      </c>
      <c r="C194" s="58" t="s">
        <v>674</v>
      </c>
      <c r="D194" s="50" t="e">
        <f>VLOOKUP(I194,#REF!,14,0)</f>
        <v>#REF!</v>
      </c>
      <c r="E194" s="26" t="s">
        <v>1023</v>
      </c>
      <c r="F194" s="25" t="s">
        <v>239</v>
      </c>
      <c r="G194" s="25" t="s">
        <v>8</v>
      </c>
      <c r="H194" s="25" t="s">
        <v>193</v>
      </c>
      <c r="I194" s="25" t="s">
        <v>239</v>
      </c>
      <c r="J194" s="25" t="s">
        <v>908</v>
      </c>
      <c r="K194" s="26" t="s">
        <v>1298</v>
      </c>
      <c r="L194" s="69">
        <v>374630</v>
      </c>
      <c r="M194" s="69">
        <v>614103</v>
      </c>
      <c r="N194" s="69">
        <v>614103</v>
      </c>
      <c r="O194" s="18">
        <v>633530</v>
      </c>
      <c r="P194" s="18">
        <v>720952</v>
      </c>
      <c r="Q194" s="18">
        <v>402905</v>
      </c>
      <c r="R194" s="25"/>
      <c r="S194" s="27"/>
      <c r="T194" s="18">
        <v>14999</v>
      </c>
      <c r="U194" s="27"/>
      <c r="V194" s="27"/>
      <c r="W194" s="27"/>
      <c r="X194" s="27"/>
      <c r="Y194" s="27"/>
      <c r="Z194" s="25" t="s">
        <v>365</v>
      </c>
      <c r="AA194" s="25" t="s">
        <v>314</v>
      </c>
    </row>
    <row r="195" spans="1:29" s="13" customFormat="1" ht="37.5" x14ac:dyDescent="0.3">
      <c r="A195" s="7">
        <v>194</v>
      </c>
      <c r="B195" s="26" t="s">
        <v>68</v>
      </c>
      <c r="C195" s="58" t="s">
        <v>669</v>
      </c>
      <c r="D195" s="50" t="e">
        <f>VLOOKUP(I195,#REF!,14,0)</f>
        <v>#REF!</v>
      </c>
      <c r="E195" s="26" t="s">
        <v>1023</v>
      </c>
      <c r="F195" s="25" t="s">
        <v>240</v>
      </c>
      <c r="G195" s="25" t="s">
        <v>8</v>
      </c>
      <c r="H195" s="25" t="s">
        <v>193</v>
      </c>
      <c r="I195" s="25" t="s">
        <v>240</v>
      </c>
      <c r="J195" s="25" t="s">
        <v>907</v>
      </c>
      <c r="K195" s="26" t="s">
        <v>1299</v>
      </c>
      <c r="L195" s="69">
        <v>441461</v>
      </c>
      <c r="M195" s="69">
        <v>695049</v>
      </c>
      <c r="N195" s="69">
        <v>695049</v>
      </c>
      <c r="O195" s="18">
        <v>878256</v>
      </c>
      <c r="P195" s="18">
        <v>1106190</v>
      </c>
      <c r="Q195" s="18">
        <v>730665</v>
      </c>
      <c r="R195" s="25"/>
      <c r="S195" s="27"/>
      <c r="T195" s="18">
        <v>6428</v>
      </c>
      <c r="U195" s="27"/>
      <c r="V195" s="18">
        <v>2044</v>
      </c>
      <c r="W195" s="27"/>
      <c r="X195" s="27"/>
      <c r="Y195" s="27"/>
      <c r="Z195" s="25" t="s">
        <v>366</v>
      </c>
      <c r="AA195" s="25" t="s">
        <v>315</v>
      </c>
      <c r="AC195" s="67"/>
    </row>
    <row r="196" spans="1:29" s="13" customFormat="1" ht="37.5" x14ac:dyDescent="0.3">
      <c r="A196" s="7">
        <v>195</v>
      </c>
      <c r="B196" s="26" t="s">
        <v>68</v>
      </c>
      <c r="C196" s="58" t="s">
        <v>1004</v>
      </c>
      <c r="D196" s="50" t="e">
        <f>VLOOKUP(I196,#REF!,14,0)</f>
        <v>#REF!</v>
      </c>
      <c r="E196" s="26" t="s">
        <v>1023</v>
      </c>
      <c r="F196" s="25" t="s">
        <v>241</v>
      </c>
      <c r="G196" s="25" t="s">
        <v>8</v>
      </c>
      <c r="H196" s="25" t="s">
        <v>193</v>
      </c>
      <c r="I196" s="25" t="s">
        <v>241</v>
      </c>
      <c r="J196" s="25" t="s">
        <v>906</v>
      </c>
      <c r="K196" s="26" t="s">
        <v>1300</v>
      </c>
      <c r="L196" s="69">
        <v>1102572</v>
      </c>
      <c r="M196" s="69">
        <v>1171670</v>
      </c>
      <c r="N196" s="69">
        <v>1171670</v>
      </c>
      <c r="O196" s="18">
        <v>1511719</v>
      </c>
      <c r="P196" s="18">
        <v>1369721</v>
      </c>
      <c r="Q196" s="18">
        <v>845694</v>
      </c>
      <c r="R196" s="25"/>
      <c r="S196" s="27"/>
      <c r="T196" s="18">
        <v>14999</v>
      </c>
      <c r="U196" s="27"/>
      <c r="V196" s="27"/>
      <c r="W196" s="27"/>
      <c r="X196" s="27"/>
      <c r="Y196" s="27"/>
      <c r="Z196" s="25" t="s">
        <v>367</v>
      </c>
      <c r="AA196" s="25" t="s">
        <v>316</v>
      </c>
      <c r="AC196" s="67"/>
    </row>
    <row r="197" spans="1:29" s="13" customFormat="1" ht="37.5" x14ac:dyDescent="0.3">
      <c r="A197" s="7">
        <v>196</v>
      </c>
      <c r="B197" s="26" t="s">
        <v>68</v>
      </c>
      <c r="C197" s="58" t="s">
        <v>961</v>
      </c>
      <c r="D197" s="50" t="e">
        <f>VLOOKUP(I197,#REF!,14,0)</f>
        <v>#REF!</v>
      </c>
      <c r="E197" s="26" t="s">
        <v>1023</v>
      </c>
      <c r="F197" s="25" t="s">
        <v>242</v>
      </c>
      <c r="G197" s="25" t="s">
        <v>8</v>
      </c>
      <c r="H197" s="25" t="s">
        <v>193</v>
      </c>
      <c r="I197" s="25" t="s">
        <v>242</v>
      </c>
      <c r="J197" s="25" t="s">
        <v>905</v>
      </c>
      <c r="K197" s="26" t="s">
        <v>1301</v>
      </c>
      <c r="L197" s="69">
        <v>68567</v>
      </c>
      <c r="M197" s="69">
        <v>98565</v>
      </c>
      <c r="N197" s="69">
        <v>98565</v>
      </c>
      <c r="O197" s="18">
        <v>144774</v>
      </c>
      <c r="P197" s="18">
        <v>379771</v>
      </c>
      <c r="Q197" s="18">
        <v>302659</v>
      </c>
      <c r="R197" s="25"/>
      <c r="S197" s="27"/>
      <c r="T197" s="18">
        <v>10714</v>
      </c>
      <c r="U197" s="27"/>
      <c r="V197" s="27"/>
      <c r="W197" s="27"/>
      <c r="X197" s="27"/>
      <c r="Y197" s="27"/>
      <c r="Z197" s="25" t="s">
        <v>368</v>
      </c>
      <c r="AA197" s="25" t="s">
        <v>317</v>
      </c>
    </row>
    <row r="198" spans="1:29" s="13" customFormat="1" ht="37.5" x14ac:dyDescent="0.3">
      <c r="A198" s="7">
        <v>197</v>
      </c>
      <c r="B198" s="26" t="s">
        <v>68</v>
      </c>
      <c r="C198" s="58" t="s">
        <v>994</v>
      </c>
      <c r="D198" s="50" t="e">
        <f>VLOOKUP(I198,#REF!,14,0)</f>
        <v>#REF!</v>
      </c>
      <c r="E198" s="26" t="s">
        <v>1023</v>
      </c>
      <c r="F198" s="25" t="s">
        <v>243</v>
      </c>
      <c r="G198" s="25" t="s">
        <v>8</v>
      </c>
      <c r="H198" s="25" t="s">
        <v>193</v>
      </c>
      <c r="I198" s="25" t="s">
        <v>243</v>
      </c>
      <c r="J198" s="25" t="s">
        <v>904</v>
      </c>
      <c r="K198" s="26" t="s">
        <v>1302</v>
      </c>
      <c r="L198" s="69">
        <v>202338</v>
      </c>
      <c r="M198" s="69">
        <v>177984</v>
      </c>
      <c r="N198" s="69">
        <v>177984</v>
      </c>
      <c r="O198" s="18">
        <v>410616</v>
      </c>
      <c r="P198" s="18">
        <v>610865</v>
      </c>
      <c r="Q198" s="18">
        <v>366919</v>
      </c>
      <c r="R198" s="25"/>
      <c r="S198" s="27"/>
      <c r="T198" s="18">
        <v>6428</v>
      </c>
      <c r="U198" s="27"/>
      <c r="V198" s="27"/>
      <c r="W198" s="27"/>
      <c r="X198" s="27"/>
      <c r="Y198" s="27"/>
      <c r="Z198" s="25" t="s">
        <v>369</v>
      </c>
      <c r="AA198" s="25" t="s">
        <v>318</v>
      </c>
    </row>
    <row r="199" spans="1:29" s="13" customFormat="1" ht="37.5" x14ac:dyDescent="0.3">
      <c r="A199" s="7">
        <v>198</v>
      </c>
      <c r="B199" s="26" t="s">
        <v>68</v>
      </c>
      <c r="C199" s="58" t="s">
        <v>980</v>
      </c>
      <c r="D199" s="50" t="e">
        <f>VLOOKUP(I199,#REF!,14,0)</f>
        <v>#REF!</v>
      </c>
      <c r="E199" s="26" t="s">
        <v>1023</v>
      </c>
      <c r="F199" s="25" t="s">
        <v>244</v>
      </c>
      <c r="G199" s="25" t="s">
        <v>8</v>
      </c>
      <c r="H199" s="25" t="s">
        <v>193</v>
      </c>
      <c r="I199" s="25" t="s">
        <v>244</v>
      </c>
      <c r="J199" s="25" t="s">
        <v>903</v>
      </c>
      <c r="K199" s="26" t="s">
        <v>1303</v>
      </c>
      <c r="L199" s="69">
        <v>240970</v>
      </c>
      <c r="M199" s="69">
        <v>315511</v>
      </c>
      <c r="N199" s="69">
        <v>315511</v>
      </c>
      <c r="O199" s="18">
        <v>536395</v>
      </c>
      <c r="P199" s="18">
        <v>591438</v>
      </c>
      <c r="Q199" s="18">
        <v>338645</v>
      </c>
      <c r="R199" s="18">
        <v>8571</v>
      </c>
      <c r="S199" s="27"/>
      <c r="T199" s="18">
        <v>17142</v>
      </c>
      <c r="U199" s="27"/>
      <c r="V199" s="18">
        <v>2044</v>
      </c>
      <c r="W199" s="27"/>
      <c r="X199" s="27"/>
      <c r="Y199" s="27"/>
      <c r="Z199" s="25" t="s">
        <v>370</v>
      </c>
      <c r="AA199" s="25" t="s">
        <v>319</v>
      </c>
    </row>
    <row r="200" spans="1:29" s="13" customFormat="1" ht="37.5" x14ac:dyDescent="0.3">
      <c r="A200" s="7">
        <v>199</v>
      </c>
      <c r="B200" s="26" t="s">
        <v>68</v>
      </c>
      <c r="C200" s="58" t="s">
        <v>1006</v>
      </c>
      <c r="D200" s="50" t="e">
        <f>VLOOKUP(I200,#REF!,14,0)</f>
        <v>#REF!</v>
      </c>
      <c r="E200" s="26" t="s">
        <v>1023</v>
      </c>
      <c r="F200" s="25" t="s">
        <v>245</v>
      </c>
      <c r="G200" s="25" t="s">
        <v>8</v>
      </c>
      <c r="H200" s="25" t="s">
        <v>193</v>
      </c>
      <c r="I200" s="25" t="s">
        <v>245</v>
      </c>
      <c r="J200" s="25" t="s">
        <v>902</v>
      </c>
      <c r="K200" s="26" t="s">
        <v>1304</v>
      </c>
      <c r="L200" s="69">
        <v>341215</v>
      </c>
      <c r="M200" s="69">
        <v>497541</v>
      </c>
      <c r="N200" s="69">
        <v>497541</v>
      </c>
      <c r="O200" s="18">
        <v>630292</v>
      </c>
      <c r="P200" s="18">
        <v>936144</v>
      </c>
      <c r="Q200" s="18">
        <v>504017</v>
      </c>
      <c r="R200" s="18">
        <v>6428</v>
      </c>
      <c r="S200" s="18">
        <v>47140</v>
      </c>
      <c r="T200" s="18">
        <v>14999</v>
      </c>
      <c r="U200" s="27"/>
      <c r="V200" s="18">
        <v>2044</v>
      </c>
      <c r="W200" s="27"/>
      <c r="X200" s="27"/>
      <c r="Y200" s="27"/>
      <c r="Z200" s="25" t="s">
        <v>371</v>
      </c>
      <c r="AA200" s="25" t="s">
        <v>320</v>
      </c>
    </row>
    <row r="201" spans="1:29" s="15" customFormat="1" ht="37.5" x14ac:dyDescent="0.3">
      <c r="A201" s="7">
        <v>200</v>
      </c>
      <c r="B201" s="32" t="s">
        <v>68</v>
      </c>
      <c r="C201" s="59" t="s">
        <v>692</v>
      </c>
      <c r="D201" s="49" t="e">
        <f>VLOOKUP(I201,#REF!,14,0)</f>
        <v>#REF!</v>
      </c>
      <c r="E201" s="8" t="s">
        <v>135</v>
      </c>
      <c r="F201" s="10" t="s">
        <v>246</v>
      </c>
      <c r="G201" s="10" t="s">
        <v>8</v>
      </c>
      <c r="H201" s="10" t="s">
        <v>193</v>
      </c>
      <c r="I201" s="10" t="s">
        <v>246</v>
      </c>
      <c r="J201" s="10" t="s">
        <v>901</v>
      </c>
      <c r="K201" s="32" t="s">
        <v>1305</v>
      </c>
      <c r="L201" s="68"/>
      <c r="M201" s="68"/>
      <c r="N201" s="68"/>
      <c r="O201" s="35"/>
      <c r="P201" s="17">
        <v>12856</v>
      </c>
      <c r="Q201" s="10"/>
      <c r="R201" s="10"/>
      <c r="S201" s="17">
        <v>14999</v>
      </c>
      <c r="T201" s="35"/>
      <c r="U201" s="35"/>
      <c r="V201" s="17">
        <v>20444</v>
      </c>
      <c r="W201" s="35"/>
      <c r="X201" s="35"/>
      <c r="Y201" s="35"/>
      <c r="Z201" s="10" t="s">
        <v>372</v>
      </c>
      <c r="AA201" s="10" t="s">
        <v>321</v>
      </c>
    </row>
    <row r="202" spans="1:29" s="3" customFormat="1" ht="37.5" x14ac:dyDescent="0.3">
      <c r="A202" s="7">
        <v>201</v>
      </c>
      <c r="B202" s="20" t="s">
        <v>68</v>
      </c>
      <c r="C202" s="51" t="s">
        <v>696</v>
      </c>
      <c r="D202" s="34" t="e">
        <f>VLOOKUP(I202,#REF!,14,0)</f>
        <v>#REF!</v>
      </c>
      <c r="E202" s="29" t="s">
        <v>416</v>
      </c>
      <c r="F202" s="19" t="s">
        <v>387</v>
      </c>
      <c r="G202" s="19" t="s">
        <v>8</v>
      </c>
      <c r="H202" s="19" t="s">
        <v>193</v>
      </c>
      <c r="I202" s="19" t="s">
        <v>387</v>
      </c>
      <c r="J202" s="19" t="s">
        <v>846</v>
      </c>
      <c r="K202" s="20" t="s">
        <v>1306</v>
      </c>
      <c r="L202" s="23">
        <v>276955</v>
      </c>
      <c r="M202" s="23">
        <v>643244</v>
      </c>
      <c r="N202" s="23">
        <v>643244</v>
      </c>
      <c r="O202" s="21">
        <v>230688</v>
      </c>
      <c r="P202" s="21">
        <v>40712</v>
      </c>
      <c r="Q202" s="21">
        <v>87852</v>
      </c>
      <c r="R202" s="21">
        <v>133704</v>
      </c>
      <c r="S202" s="21">
        <v>169128</v>
      </c>
      <c r="T202" s="21">
        <v>282096</v>
      </c>
      <c r="U202" s="21">
        <v>397553</v>
      </c>
      <c r="V202" s="21">
        <v>347649</v>
      </c>
      <c r="W202" s="21">
        <v>288784</v>
      </c>
      <c r="X202" s="21">
        <v>34755</v>
      </c>
      <c r="Y202" s="21">
        <v>47022</v>
      </c>
      <c r="Z202" s="19" t="s">
        <v>388</v>
      </c>
      <c r="AA202" s="19" t="s">
        <v>273</v>
      </c>
    </row>
    <row r="203" spans="1:29" s="15" customFormat="1" ht="37.5" x14ac:dyDescent="0.3">
      <c r="A203" s="7">
        <v>202</v>
      </c>
      <c r="B203" s="32" t="s">
        <v>68</v>
      </c>
      <c r="C203" s="59" t="s">
        <v>974</v>
      </c>
      <c r="D203" s="49" t="e">
        <f>VLOOKUP(I203,#REF!,14,0)</f>
        <v>#REF!</v>
      </c>
      <c r="E203" s="8" t="s">
        <v>135</v>
      </c>
      <c r="F203" s="10" t="s">
        <v>385</v>
      </c>
      <c r="G203" s="10" t="s">
        <v>8</v>
      </c>
      <c r="H203" s="10" t="s">
        <v>193</v>
      </c>
      <c r="I203" s="10" t="s">
        <v>385</v>
      </c>
      <c r="J203" s="10" t="s">
        <v>869</v>
      </c>
      <c r="K203" s="32" t="s">
        <v>1307</v>
      </c>
      <c r="L203" s="68"/>
      <c r="M203" s="68"/>
      <c r="N203" s="68"/>
      <c r="O203" s="17">
        <v>6428</v>
      </c>
      <c r="P203" s="17">
        <v>38569</v>
      </c>
      <c r="Q203" s="17">
        <v>38569</v>
      </c>
      <c r="R203" s="17">
        <v>36426</v>
      </c>
      <c r="S203" s="17">
        <v>36426</v>
      </c>
      <c r="T203" s="17">
        <v>19284</v>
      </c>
      <c r="U203" s="35"/>
      <c r="V203" s="35"/>
      <c r="W203" s="35"/>
      <c r="X203" s="35"/>
      <c r="Y203" s="35"/>
      <c r="Z203" s="10" t="s">
        <v>386</v>
      </c>
      <c r="AA203" s="10" t="s">
        <v>251</v>
      </c>
    </row>
    <row r="204" spans="1:29" s="15" customFormat="1" ht="37.5" x14ac:dyDescent="0.3">
      <c r="A204" s="7">
        <v>203</v>
      </c>
      <c r="B204" s="32" t="s">
        <v>68</v>
      </c>
      <c r="C204" s="59" t="s">
        <v>673</v>
      </c>
      <c r="D204" s="49" t="e">
        <f>VLOOKUP(I204,#REF!,14,0)</f>
        <v>#REF!</v>
      </c>
      <c r="E204" s="8" t="s">
        <v>135</v>
      </c>
      <c r="F204" s="10" t="s">
        <v>397</v>
      </c>
      <c r="G204" s="10" t="s">
        <v>8</v>
      </c>
      <c r="H204" s="10" t="s">
        <v>193</v>
      </c>
      <c r="I204" s="10" t="s">
        <v>397</v>
      </c>
      <c r="J204" s="10" t="s">
        <v>680</v>
      </c>
      <c r="K204" s="32" t="s">
        <v>1308</v>
      </c>
      <c r="L204" s="68"/>
      <c r="M204" s="68"/>
      <c r="N204" s="68"/>
      <c r="O204" s="35"/>
      <c r="P204" s="35"/>
      <c r="Q204" s="18">
        <v>25713</v>
      </c>
      <c r="R204" s="10"/>
      <c r="S204" s="35"/>
      <c r="T204" s="17">
        <v>10714</v>
      </c>
      <c r="U204" s="35"/>
      <c r="V204" s="35"/>
      <c r="W204" s="35"/>
      <c r="X204" s="35"/>
      <c r="Y204" s="35"/>
      <c r="Z204" s="10" t="s">
        <v>398</v>
      </c>
      <c r="AA204" s="10" t="s">
        <v>257</v>
      </c>
    </row>
    <row r="205" spans="1:29" s="15" customFormat="1" ht="37.5" x14ac:dyDescent="0.3">
      <c r="A205" s="7">
        <v>204</v>
      </c>
      <c r="B205" s="32" t="s">
        <v>68</v>
      </c>
      <c r="C205" s="59" t="s">
        <v>1011</v>
      </c>
      <c r="D205" s="49" t="e">
        <f>VLOOKUP(I205,#REF!,14,0)</f>
        <v>#REF!</v>
      </c>
      <c r="E205" s="8" t="s">
        <v>135</v>
      </c>
      <c r="F205" s="10" t="s">
        <v>407</v>
      </c>
      <c r="G205" s="10" t="s">
        <v>8</v>
      </c>
      <c r="H205" s="10" t="s">
        <v>193</v>
      </c>
      <c r="I205" s="10" t="s">
        <v>407</v>
      </c>
      <c r="J205" s="10" t="s">
        <v>864</v>
      </c>
      <c r="K205" s="32" t="s">
        <v>1309</v>
      </c>
      <c r="L205" s="68"/>
      <c r="M205" s="68"/>
      <c r="N205" s="68"/>
      <c r="O205" s="35"/>
      <c r="P205" s="17">
        <v>12856</v>
      </c>
      <c r="Q205" s="10"/>
      <c r="R205" s="10"/>
      <c r="S205" s="35"/>
      <c r="T205" s="17">
        <v>17142</v>
      </c>
      <c r="U205" s="35"/>
      <c r="V205" s="35"/>
      <c r="W205" s="35"/>
      <c r="X205" s="35"/>
      <c r="Y205" s="35"/>
      <c r="Z205" s="10" t="s">
        <v>399</v>
      </c>
      <c r="AA205" s="10" t="s">
        <v>260</v>
      </c>
    </row>
    <row r="206" spans="1:29" s="15" customFormat="1" ht="37.5" x14ac:dyDescent="0.3">
      <c r="A206" s="7">
        <v>205</v>
      </c>
      <c r="B206" s="32" t="s">
        <v>68</v>
      </c>
      <c r="C206" s="59" t="s">
        <v>972</v>
      </c>
      <c r="D206" s="49" t="e">
        <f>VLOOKUP(I206,#REF!,14,0)</f>
        <v>#REF!</v>
      </c>
      <c r="E206" s="8" t="s">
        <v>135</v>
      </c>
      <c r="F206" s="10" t="s">
        <v>408</v>
      </c>
      <c r="G206" s="10" t="s">
        <v>8</v>
      </c>
      <c r="H206" s="10" t="s">
        <v>193</v>
      </c>
      <c r="I206" s="10" t="s">
        <v>408</v>
      </c>
      <c r="J206" s="10" t="s">
        <v>870</v>
      </c>
      <c r="K206" s="32" t="s">
        <v>1310</v>
      </c>
      <c r="L206" s="68"/>
      <c r="M206" s="68"/>
      <c r="N206" s="68"/>
      <c r="O206" s="17">
        <v>10714</v>
      </c>
      <c r="P206" s="35"/>
      <c r="Q206" s="35"/>
      <c r="R206" s="17">
        <v>2143</v>
      </c>
      <c r="S206" s="17">
        <v>27855</v>
      </c>
      <c r="T206" s="35"/>
      <c r="U206" s="35"/>
      <c r="V206" s="17">
        <v>2044</v>
      </c>
      <c r="W206" s="35"/>
      <c r="X206" s="35"/>
      <c r="Y206" s="35"/>
      <c r="Z206" s="10" t="s">
        <v>400</v>
      </c>
      <c r="AA206" s="10" t="s">
        <v>261</v>
      </c>
    </row>
    <row r="207" spans="1:29" s="15" customFormat="1" ht="37.5" x14ac:dyDescent="0.3">
      <c r="A207" s="7">
        <v>206</v>
      </c>
      <c r="B207" s="32" t="s">
        <v>68</v>
      </c>
      <c r="C207" s="59" t="s">
        <v>695</v>
      </c>
      <c r="D207" s="49" t="e">
        <f>VLOOKUP(I207,#REF!,14,0)</f>
        <v>#REF!</v>
      </c>
      <c r="E207" s="8" t="s">
        <v>135</v>
      </c>
      <c r="F207" s="10" t="s">
        <v>409</v>
      </c>
      <c r="G207" s="10" t="s">
        <v>8</v>
      </c>
      <c r="H207" s="10" t="s">
        <v>193</v>
      </c>
      <c r="I207" s="10" t="s">
        <v>409</v>
      </c>
      <c r="J207" s="10" t="s">
        <v>877</v>
      </c>
      <c r="K207" s="32" t="s">
        <v>1311</v>
      </c>
      <c r="L207" s="68"/>
      <c r="M207" s="68"/>
      <c r="N207" s="68"/>
      <c r="O207" s="35"/>
      <c r="P207" s="17">
        <v>25713</v>
      </c>
      <c r="Q207" s="10"/>
      <c r="R207" s="10"/>
      <c r="S207" s="35"/>
      <c r="T207" s="17">
        <v>32141</v>
      </c>
      <c r="U207" s="35"/>
      <c r="V207" s="35"/>
      <c r="W207" s="35"/>
      <c r="X207" s="35"/>
      <c r="Y207" s="17">
        <v>4089</v>
      </c>
      <c r="Z207" s="10" t="s">
        <v>401</v>
      </c>
      <c r="AA207" s="10" t="s">
        <v>262</v>
      </c>
    </row>
    <row r="208" spans="1:29" s="15" customFormat="1" ht="37.5" x14ac:dyDescent="0.3">
      <c r="A208" s="7">
        <v>207</v>
      </c>
      <c r="B208" s="32" t="s">
        <v>68</v>
      </c>
      <c r="C208" s="59" t="s">
        <v>1014</v>
      </c>
      <c r="D208" s="49" t="e">
        <f>VLOOKUP(I208,#REF!,14,0)</f>
        <v>#REF!</v>
      </c>
      <c r="E208" s="8" t="s">
        <v>135</v>
      </c>
      <c r="F208" s="10" t="s">
        <v>410</v>
      </c>
      <c r="G208" s="10" t="s">
        <v>8</v>
      </c>
      <c r="H208" s="10" t="s">
        <v>193</v>
      </c>
      <c r="I208" s="10" t="s">
        <v>410</v>
      </c>
      <c r="J208" s="10" t="s">
        <v>883</v>
      </c>
      <c r="K208" s="32" t="s">
        <v>1312</v>
      </c>
      <c r="L208" s="68"/>
      <c r="M208" s="68"/>
      <c r="N208" s="68"/>
      <c r="O208" s="17">
        <v>10714</v>
      </c>
      <c r="P208" s="35"/>
      <c r="Q208" s="35"/>
      <c r="R208" s="17">
        <v>40712</v>
      </c>
      <c r="S208" s="17">
        <v>193482</v>
      </c>
      <c r="T208" s="35"/>
      <c r="U208" s="35"/>
      <c r="V208" s="35"/>
      <c r="W208" s="35"/>
      <c r="X208" s="35"/>
      <c r="Y208" s="35"/>
      <c r="Z208" s="10" t="s">
        <v>402</v>
      </c>
      <c r="AA208" s="10" t="s">
        <v>263</v>
      </c>
    </row>
    <row r="209" spans="1:27" s="15" customFormat="1" ht="37.5" x14ac:dyDescent="0.3">
      <c r="A209" s="7">
        <v>208</v>
      </c>
      <c r="B209" s="32" t="s">
        <v>68</v>
      </c>
      <c r="C209" s="59" t="s">
        <v>995</v>
      </c>
      <c r="D209" s="49" t="e">
        <f>VLOOKUP(I209,#REF!,14,0)</f>
        <v>#REF!</v>
      </c>
      <c r="E209" s="8" t="s">
        <v>135</v>
      </c>
      <c r="F209" s="10" t="s">
        <v>411</v>
      </c>
      <c r="G209" s="10" t="s">
        <v>8</v>
      </c>
      <c r="H209" s="10" t="s">
        <v>193</v>
      </c>
      <c r="I209" s="10" t="s">
        <v>411</v>
      </c>
      <c r="J209" s="10" t="s">
        <v>890</v>
      </c>
      <c r="K209" s="32" t="s">
        <v>1313</v>
      </c>
      <c r="L209" s="68"/>
      <c r="M209" s="68"/>
      <c r="N209" s="68"/>
      <c r="O209" s="17"/>
      <c r="P209" s="17">
        <v>12856</v>
      </c>
      <c r="Q209" s="10"/>
      <c r="R209" s="10"/>
      <c r="S209" s="17">
        <v>102851</v>
      </c>
      <c r="T209" s="35"/>
      <c r="U209" s="35"/>
      <c r="V209" s="35"/>
      <c r="W209" s="17">
        <v>69511</v>
      </c>
      <c r="X209" s="17">
        <v>59289</v>
      </c>
      <c r="Y209" s="35"/>
      <c r="Z209" s="10" t="s">
        <v>403</v>
      </c>
      <c r="AA209" s="10" t="s">
        <v>264</v>
      </c>
    </row>
    <row r="210" spans="1:27" s="15" customFormat="1" ht="37.5" x14ac:dyDescent="0.3">
      <c r="A210" s="7">
        <v>209</v>
      </c>
      <c r="B210" s="32" t="s">
        <v>68</v>
      </c>
      <c r="C210" s="59" t="s">
        <v>960</v>
      </c>
      <c r="D210" s="49" t="e">
        <f>VLOOKUP(I210,#REF!,14,0)</f>
        <v>#REF!</v>
      </c>
      <c r="E210" s="8" t="s">
        <v>135</v>
      </c>
      <c r="F210" s="10" t="s">
        <v>412</v>
      </c>
      <c r="G210" s="10" t="s">
        <v>8</v>
      </c>
      <c r="H210" s="10" t="s">
        <v>193</v>
      </c>
      <c r="I210" s="10" t="s">
        <v>412</v>
      </c>
      <c r="J210" s="10" t="s">
        <v>897</v>
      </c>
      <c r="K210" s="32" t="s">
        <v>1314</v>
      </c>
      <c r="L210" s="68"/>
      <c r="M210" s="69">
        <v>23570</v>
      </c>
      <c r="N210" s="69">
        <v>23570</v>
      </c>
      <c r="O210" s="35"/>
      <c r="P210" s="17">
        <v>12856</v>
      </c>
      <c r="Q210" s="10"/>
      <c r="R210" s="10"/>
      <c r="S210" s="17">
        <v>25713</v>
      </c>
      <c r="T210" s="17">
        <v>8571</v>
      </c>
      <c r="U210" s="35"/>
      <c r="V210" s="17">
        <v>2044</v>
      </c>
      <c r="W210" s="17">
        <v>8178</v>
      </c>
      <c r="X210" s="35"/>
      <c r="Y210" s="35"/>
      <c r="Z210" s="10" t="s">
        <v>404</v>
      </c>
      <c r="AA210" s="10" t="s">
        <v>265</v>
      </c>
    </row>
    <row r="211" spans="1:27" s="15" customFormat="1" ht="37.5" x14ac:dyDescent="0.3">
      <c r="A211" s="7">
        <v>210</v>
      </c>
      <c r="B211" s="32" t="s">
        <v>68</v>
      </c>
      <c r="C211" s="59" t="s">
        <v>969</v>
      </c>
      <c r="D211" s="49" t="e">
        <f>VLOOKUP(I211,#REF!,14,0)</f>
        <v>#REF!</v>
      </c>
      <c r="E211" s="8" t="s">
        <v>135</v>
      </c>
      <c r="F211" s="10" t="s">
        <v>413</v>
      </c>
      <c r="G211" s="10" t="s">
        <v>8</v>
      </c>
      <c r="H211" s="10" t="s">
        <v>193</v>
      </c>
      <c r="I211" s="10" t="s">
        <v>413</v>
      </c>
      <c r="J211" s="10" t="s">
        <v>837</v>
      </c>
      <c r="K211" s="32" t="s">
        <v>1315</v>
      </c>
      <c r="L211" s="68"/>
      <c r="M211" s="68"/>
      <c r="N211" s="68"/>
      <c r="O211" s="35"/>
      <c r="P211" s="35"/>
      <c r="Q211" s="18">
        <v>27855</v>
      </c>
      <c r="R211" s="10"/>
      <c r="S211" s="35"/>
      <c r="T211" s="17">
        <v>17142</v>
      </c>
      <c r="U211" s="35"/>
      <c r="V211" s="17">
        <v>2044</v>
      </c>
      <c r="W211" s="35"/>
      <c r="X211" s="35"/>
      <c r="Y211" s="35"/>
      <c r="Z211" s="10" t="s">
        <v>405</v>
      </c>
      <c r="AA211" s="10" t="s">
        <v>266</v>
      </c>
    </row>
    <row r="212" spans="1:27" s="15" customFormat="1" ht="37.5" x14ac:dyDescent="0.3">
      <c r="A212" s="7">
        <v>211</v>
      </c>
      <c r="B212" s="32" t="s">
        <v>68</v>
      </c>
      <c r="C212" s="59" t="s">
        <v>1018</v>
      </c>
      <c r="D212" s="49" t="e">
        <f>VLOOKUP(I212,#REF!,14,0)</f>
        <v>#REF!</v>
      </c>
      <c r="E212" s="8" t="s">
        <v>135</v>
      </c>
      <c r="F212" s="10" t="s">
        <v>414</v>
      </c>
      <c r="G212" s="10" t="s">
        <v>8</v>
      </c>
      <c r="H212" s="10" t="s">
        <v>193</v>
      </c>
      <c r="I212" s="10" t="s">
        <v>414</v>
      </c>
      <c r="J212" s="10" t="s">
        <v>844</v>
      </c>
      <c r="K212" s="32" t="s">
        <v>1316</v>
      </c>
      <c r="L212" s="68"/>
      <c r="M212" s="68"/>
      <c r="N212" s="68"/>
      <c r="O212" s="18">
        <v>4285</v>
      </c>
      <c r="P212" s="18">
        <v>17142</v>
      </c>
      <c r="Q212" s="18">
        <v>29998</v>
      </c>
      <c r="R212" s="10"/>
      <c r="S212" s="35"/>
      <c r="T212" s="17">
        <v>44997</v>
      </c>
      <c r="U212" s="35"/>
      <c r="V212" s="35"/>
      <c r="W212" s="35"/>
      <c r="X212" s="35"/>
      <c r="Y212" s="35"/>
      <c r="Z212" s="10" t="s">
        <v>406</v>
      </c>
      <c r="AA212" s="10" t="s">
        <v>267</v>
      </c>
    </row>
    <row r="213" spans="1:27" s="3" customFormat="1" ht="37.5" x14ac:dyDescent="0.3">
      <c r="A213" s="7">
        <v>212</v>
      </c>
      <c r="B213" s="20" t="s">
        <v>68</v>
      </c>
      <c r="C213" s="51" t="s">
        <v>993</v>
      </c>
      <c r="D213" s="34" t="e">
        <f>VLOOKUP(I213,#REF!,14,0)</f>
        <v>#REF!</v>
      </c>
      <c r="E213" s="29" t="s">
        <v>416</v>
      </c>
      <c r="F213" s="19" t="s">
        <v>396</v>
      </c>
      <c r="G213" s="19" t="s">
        <v>8</v>
      </c>
      <c r="H213" s="19" t="s">
        <v>193</v>
      </c>
      <c r="I213" s="19" t="s">
        <v>396</v>
      </c>
      <c r="J213" s="19" t="s">
        <v>853</v>
      </c>
      <c r="K213" s="20" t="s">
        <v>1317</v>
      </c>
      <c r="L213" s="23">
        <v>472306</v>
      </c>
      <c r="M213" s="23">
        <v>444031</v>
      </c>
      <c r="N213" s="23">
        <v>444031</v>
      </c>
      <c r="O213" s="21">
        <v>220406</v>
      </c>
      <c r="P213" s="21">
        <v>346356</v>
      </c>
      <c r="Q213" s="21">
        <v>354067</v>
      </c>
      <c r="R213" s="21">
        <v>256392</v>
      </c>
      <c r="S213" s="21">
        <v>180198</v>
      </c>
      <c r="T213" s="21">
        <v>348926</v>
      </c>
      <c r="U213" s="21">
        <v>195319</v>
      </c>
      <c r="V213" s="21">
        <v>197284</v>
      </c>
      <c r="W213" s="21">
        <v>142359</v>
      </c>
      <c r="X213" s="21">
        <v>59289</v>
      </c>
      <c r="Y213" s="21">
        <v>104334</v>
      </c>
      <c r="Z213" s="19" t="s">
        <v>395</v>
      </c>
      <c r="AA213" s="19" t="s">
        <v>272</v>
      </c>
    </row>
    <row r="214" spans="1:27" s="3" customFormat="1" ht="37.5" x14ac:dyDescent="0.3">
      <c r="A214" s="7">
        <v>213</v>
      </c>
      <c r="B214" s="20" t="s">
        <v>68</v>
      </c>
      <c r="C214" s="51" t="s">
        <v>1005</v>
      </c>
      <c r="D214" s="34" t="e">
        <f>VLOOKUP(I214,#REF!,14,0)</f>
        <v>#REF!</v>
      </c>
      <c r="E214" s="20" t="s">
        <v>1455</v>
      </c>
      <c r="F214" s="19" t="s">
        <v>393</v>
      </c>
      <c r="G214" s="19" t="s">
        <v>8</v>
      </c>
      <c r="H214" s="19" t="s">
        <v>193</v>
      </c>
      <c r="I214" s="19" t="s">
        <v>393</v>
      </c>
      <c r="J214" s="19" t="s">
        <v>839</v>
      </c>
      <c r="K214" s="20" t="s">
        <v>1318</v>
      </c>
      <c r="L214" s="23">
        <v>1160460</v>
      </c>
      <c r="M214" s="23">
        <v>1201565</v>
      </c>
      <c r="N214" s="23">
        <v>1201565</v>
      </c>
      <c r="O214" s="21">
        <v>1231459</v>
      </c>
      <c r="P214" s="21">
        <v>1227722</v>
      </c>
      <c r="Q214" s="21">
        <v>565536</v>
      </c>
      <c r="R214" s="21">
        <v>1227722</v>
      </c>
      <c r="S214" s="21">
        <v>1351037</v>
      </c>
      <c r="T214" s="21">
        <v>1073628</v>
      </c>
      <c r="U214" s="21">
        <v>1027193</v>
      </c>
      <c r="V214" s="21">
        <v>666241</v>
      </c>
      <c r="W214" s="21">
        <v>283879</v>
      </c>
      <c r="X214" s="21">
        <v>65422</v>
      </c>
      <c r="Y214" s="21">
        <v>4089</v>
      </c>
      <c r="Z214" s="19" t="s">
        <v>394</v>
      </c>
      <c r="AA214" s="19" t="s">
        <v>274</v>
      </c>
    </row>
    <row r="215" spans="1:27" s="3" customFormat="1" ht="37.5" x14ac:dyDescent="0.3">
      <c r="A215" s="7">
        <v>214</v>
      </c>
      <c r="B215" s="20" t="s">
        <v>68</v>
      </c>
      <c r="C215" s="51" t="s">
        <v>697</v>
      </c>
      <c r="D215" s="34" t="e">
        <f>VLOOKUP(I215,#REF!,14,0)</f>
        <v>#REF!</v>
      </c>
      <c r="E215" s="20" t="s">
        <v>1455</v>
      </c>
      <c r="F215" s="19" t="s">
        <v>391</v>
      </c>
      <c r="G215" s="19" t="s">
        <v>8</v>
      </c>
      <c r="H215" s="19" t="s">
        <v>193</v>
      </c>
      <c r="I215" s="19" t="s">
        <v>391</v>
      </c>
      <c r="J215" s="19" t="s">
        <v>899</v>
      </c>
      <c r="K215" s="20" t="s">
        <v>1319</v>
      </c>
      <c r="L215" s="23">
        <v>2752337</v>
      </c>
      <c r="M215" s="23">
        <v>2853230</v>
      </c>
      <c r="N215" s="23">
        <v>2853230</v>
      </c>
      <c r="O215" s="21">
        <v>1862978</v>
      </c>
      <c r="P215" s="21">
        <v>1351037</v>
      </c>
      <c r="Q215" s="21">
        <v>662671</v>
      </c>
      <c r="R215" s="21">
        <v>643244</v>
      </c>
      <c r="S215" s="21">
        <v>575249</v>
      </c>
      <c r="T215" s="21">
        <v>513730</v>
      </c>
      <c r="U215" s="21">
        <v>420334</v>
      </c>
      <c r="V215" s="21">
        <v>542689</v>
      </c>
      <c r="W215" s="21">
        <v>551956</v>
      </c>
      <c r="X215" s="21">
        <v>155034</v>
      </c>
      <c r="Y215" s="21">
        <v>98133</v>
      </c>
      <c r="Z215" s="19" t="s">
        <v>392</v>
      </c>
      <c r="AA215" s="19" t="s">
        <v>275</v>
      </c>
    </row>
    <row r="216" spans="1:27" s="3" customFormat="1" ht="37.5" x14ac:dyDescent="0.3">
      <c r="A216" s="7">
        <v>215</v>
      </c>
      <c r="B216" s="20" t="s">
        <v>68</v>
      </c>
      <c r="C216" s="51" t="s">
        <v>1013</v>
      </c>
      <c r="D216" s="34" t="e">
        <f>VLOOKUP(I216,#REF!,14,0)</f>
        <v>#REF!</v>
      </c>
      <c r="E216" s="20" t="s">
        <v>1455</v>
      </c>
      <c r="F216" s="19" t="s">
        <v>389</v>
      </c>
      <c r="G216" s="19" t="s">
        <v>8</v>
      </c>
      <c r="H216" s="19" t="s">
        <v>193</v>
      </c>
      <c r="I216" s="19" t="s">
        <v>389</v>
      </c>
      <c r="J216" s="19" t="s">
        <v>892</v>
      </c>
      <c r="K216" s="20" t="s">
        <v>1320</v>
      </c>
      <c r="L216" s="23">
        <v>356638</v>
      </c>
      <c r="M216" s="23">
        <v>533157</v>
      </c>
      <c r="N216" s="23">
        <v>533157</v>
      </c>
      <c r="O216" s="21">
        <v>688573</v>
      </c>
      <c r="P216" s="21">
        <v>356638</v>
      </c>
      <c r="Q216" s="21">
        <v>228118</v>
      </c>
      <c r="R216" s="21">
        <v>361778</v>
      </c>
      <c r="S216" s="21">
        <v>217836</v>
      </c>
      <c r="T216" s="21">
        <v>204552</v>
      </c>
      <c r="U216" s="21">
        <v>367179</v>
      </c>
      <c r="V216" s="21">
        <v>184609</v>
      </c>
      <c r="W216" s="21">
        <v>16356</v>
      </c>
      <c r="X216" s="21">
        <v>20444</v>
      </c>
      <c r="Y216" s="21"/>
      <c r="Z216" s="19" t="s">
        <v>390</v>
      </c>
      <c r="AA216" s="19" t="s">
        <v>276</v>
      </c>
    </row>
    <row r="217" spans="1:27" s="3" customFormat="1" ht="37.5" x14ac:dyDescent="0.3">
      <c r="A217" s="7">
        <v>216</v>
      </c>
      <c r="B217" s="20" t="s">
        <v>68</v>
      </c>
      <c r="C217" s="51" t="s">
        <v>1021</v>
      </c>
      <c r="D217" s="34" t="e">
        <f>VLOOKUP(I217,#REF!,14,0)</f>
        <v>#REF!</v>
      </c>
      <c r="E217" s="20" t="s">
        <v>1455</v>
      </c>
      <c r="F217" s="19" t="s">
        <v>384</v>
      </c>
      <c r="G217" s="19" t="s">
        <v>8</v>
      </c>
      <c r="H217" s="19" t="s">
        <v>193</v>
      </c>
      <c r="I217" s="19" t="s">
        <v>384</v>
      </c>
      <c r="J217" s="19" t="s">
        <v>885</v>
      </c>
      <c r="K217" s="20" t="s">
        <v>1321</v>
      </c>
      <c r="L217" s="23">
        <v>1030212</v>
      </c>
      <c r="M217" s="23">
        <v>1362247</v>
      </c>
      <c r="N217" s="23">
        <v>1362247</v>
      </c>
      <c r="O217" s="21">
        <v>1803190</v>
      </c>
      <c r="P217" s="21">
        <v>1978819</v>
      </c>
      <c r="Q217" s="21">
        <v>1676138</v>
      </c>
      <c r="R217" s="21">
        <v>2464603</v>
      </c>
      <c r="S217" s="21">
        <v>921672</v>
      </c>
      <c r="T217" s="21">
        <v>4285</v>
      </c>
      <c r="U217" s="21">
        <v>6330</v>
      </c>
      <c r="V217" s="21">
        <v>4089</v>
      </c>
      <c r="W217" s="21"/>
      <c r="X217" s="21">
        <v>22489</v>
      </c>
      <c r="Y217" s="21"/>
      <c r="Z217" s="19" t="s">
        <v>378</v>
      </c>
      <c r="AA217" s="19" t="s">
        <v>277</v>
      </c>
    </row>
    <row r="218" spans="1:27" s="3" customFormat="1" ht="37.5" x14ac:dyDescent="0.3">
      <c r="A218" s="7">
        <v>217</v>
      </c>
      <c r="B218" s="20" t="s">
        <v>68</v>
      </c>
      <c r="C218" s="51" t="s">
        <v>693</v>
      </c>
      <c r="D218" s="34" t="e">
        <f>VLOOKUP(I218,#REF!,14,0)</f>
        <v>#REF!</v>
      </c>
      <c r="E218" s="29" t="s">
        <v>416</v>
      </c>
      <c r="F218" s="19" t="s">
        <v>383</v>
      </c>
      <c r="G218" s="19" t="s">
        <v>8</v>
      </c>
      <c r="H218" s="19" t="s">
        <v>193</v>
      </c>
      <c r="I218" s="19" t="s">
        <v>383</v>
      </c>
      <c r="J218" s="19" t="s">
        <v>878</v>
      </c>
      <c r="K218" s="20" t="s">
        <v>1322</v>
      </c>
      <c r="L218" s="23"/>
      <c r="M218" s="23"/>
      <c r="N218" s="23"/>
      <c r="O218" s="21"/>
      <c r="P218" s="21"/>
      <c r="Q218" s="21">
        <v>25713</v>
      </c>
      <c r="R218" s="19"/>
      <c r="S218" s="21"/>
      <c r="T218" s="21">
        <v>2143</v>
      </c>
      <c r="U218" s="21">
        <v>10615</v>
      </c>
      <c r="V218" s="21">
        <v>65422</v>
      </c>
      <c r="W218" s="21"/>
      <c r="X218" s="21"/>
      <c r="Y218" s="21"/>
      <c r="Z218" s="19" t="s">
        <v>377</v>
      </c>
      <c r="AA218" s="19" t="s">
        <v>278</v>
      </c>
    </row>
    <row r="219" spans="1:27" s="3" customFormat="1" ht="37.5" x14ac:dyDescent="0.3">
      <c r="A219" s="7">
        <v>218</v>
      </c>
      <c r="B219" s="20" t="s">
        <v>68</v>
      </c>
      <c r="C219" s="51" t="s">
        <v>665</v>
      </c>
      <c r="D219" s="34" t="e">
        <f>VLOOKUP(I219,#REF!,14,0)</f>
        <v>#REF!</v>
      </c>
      <c r="E219" s="29" t="s">
        <v>416</v>
      </c>
      <c r="F219" s="19" t="s">
        <v>382</v>
      </c>
      <c r="G219" s="19" t="s">
        <v>8</v>
      </c>
      <c r="H219" s="19" t="s">
        <v>193</v>
      </c>
      <c r="I219" s="19" t="s">
        <v>382</v>
      </c>
      <c r="J219" s="19" t="s">
        <v>872</v>
      </c>
      <c r="K219" s="20" t="s">
        <v>1323</v>
      </c>
      <c r="L219" s="23"/>
      <c r="M219" s="23"/>
      <c r="N219" s="23"/>
      <c r="O219" s="21"/>
      <c r="P219" s="21"/>
      <c r="Q219" s="21">
        <v>25713</v>
      </c>
      <c r="R219" s="19"/>
      <c r="S219" s="21"/>
      <c r="T219" s="21">
        <v>6428</v>
      </c>
      <c r="U219" s="21"/>
      <c r="V219" s="21"/>
      <c r="W219" s="21"/>
      <c r="X219" s="21"/>
      <c r="Y219" s="21"/>
      <c r="Z219" s="19" t="s">
        <v>376</v>
      </c>
      <c r="AA219" s="19" t="s">
        <v>279</v>
      </c>
    </row>
    <row r="220" spans="1:27" s="3" customFormat="1" ht="37.5" x14ac:dyDescent="0.3">
      <c r="A220" s="7">
        <v>219</v>
      </c>
      <c r="B220" s="20" t="s">
        <v>68</v>
      </c>
      <c r="C220" s="51" t="s">
        <v>991</v>
      </c>
      <c r="D220" s="34" t="e">
        <f>VLOOKUP(I220,#REF!,14,0)</f>
        <v>#REF!</v>
      </c>
      <c r="E220" s="29" t="s">
        <v>416</v>
      </c>
      <c r="F220" s="19" t="s">
        <v>381</v>
      </c>
      <c r="G220" s="19" t="s">
        <v>8</v>
      </c>
      <c r="H220" s="19" t="s">
        <v>193</v>
      </c>
      <c r="I220" s="19" t="s">
        <v>381</v>
      </c>
      <c r="J220" s="19" t="s">
        <v>865</v>
      </c>
      <c r="K220" s="20" t="s">
        <v>1324</v>
      </c>
      <c r="L220" s="23">
        <v>129276</v>
      </c>
      <c r="M220" s="23">
        <v>100708</v>
      </c>
      <c r="N220" s="23">
        <v>100708</v>
      </c>
      <c r="O220" s="21">
        <v>140346</v>
      </c>
      <c r="P220" s="21">
        <v>251251</v>
      </c>
      <c r="Q220" s="21">
        <v>173556</v>
      </c>
      <c r="R220" s="21">
        <v>238399</v>
      </c>
      <c r="S220" s="21">
        <v>333504</v>
      </c>
      <c r="T220" s="21">
        <v>200124</v>
      </c>
      <c r="U220" s="21">
        <v>52880</v>
      </c>
      <c r="V220" s="21"/>
      <c r="W220" s="21"/>
      <c r="X220" s="21"/>
      <c r="Y220" s="21"/>
      <c r="Z220" s="19" t="s">
        <v>375</v>
      </c>
      <c r="AA220" s="19" t="s">
        <v>280</v>
      </c>
    </row>
    <row r="221" spans="1:27" s="3" customFormat="1" ht="37.5" x14ac:dyDescent="0.3">
      <c r="A221" s="7">
        <v>220</v>
      </c>
      <c r="B221" s="20" t="s">
        <v>68</v>
      </c>
      <c r="C221" s="51" t="s">
        <v>1015</v>
      </c>
      <c r="D221" s="34" t="e">
        <f>VLOOKUP(I221,#REF!,14,0)</f>
        <v>#REF!</v>
      </c>
      <c r="E221" s="29" t="s">
        <v>416</v>
      </c>
      <c r="F221" s="19" t="s">
        <v>380</v>
      </c>
      <c r="G221" s="19" t="s">
        <v>8</v>
      </c>
      <c r="H221" s="19" t="s">
        <v>193</v>
      </c>
      <c r="I221" s="19" t="s">
        <v>380</v>
      </c>
      <c r="J221" s="19" t="s">
        <v>859</v>
      </c>
      <c r="K221" s="20" t="s">
        <v>1325</v>
      </c>
      <c r="L221" s="23">
        <v>25713</v>
      </c>
      <c r="M221" s="23">
        <v>23570</v>
      </c>
      <c r="N221" s="23">
        <v>23570</v>
      </c>
      <c r="O221" s="21">
        <v>164700</v>
      </c>
      <c r="P221" s="21">
        <v>146988</v>
      </c>
      <c r="Q221" s="21">
        <v>38569</v>
      </c>
      <c r="R221" s="21">
        <v>94280</v>
      </c>
      <c r="S221" s="21">
        <v>140346</v>
      </c>
      <c r="T221" s="21">
        <v>193482</v>
      </c>
      <c r="U221" s="21">
        <v>80342</v>
      </c>
      <c r="V221" s="21">
        <v>4089</v>
      </c>
      <c r="W221" s="21"/>
      <c r="X221" s="21"/>
      <c r="Y221" s="21"/>
      <c r="Z221" s="19" t="s">
        <v>374</v>
      </c>
      <c r="AA221" s="19" t="s">
        <v>281</v>
      </c>
    </row>
    <row r="222" spans="1:27" s="3" customFormat="1" ht="37.5" x14ac:dyDescent="0.3">
      <c r="A222" s="7">
        <v>221</v>
      </c>
      <c r="B222" s="20" t="s">
        <v>68</v>
      </c>
      <c r="C222" s="51" t="s">
        <v>998</v>
      </c>
      <c r="D222" s="34" t="e">
        <f>VLOOKUP(I222,#REF!,14,0)</f>
        <v>#REF!</v>
      </c>
      <c r="E222" s="29" t="s">
        <v>416</v>
      </c>
      <c r="F222" s="19" t="s">
        <v>379</v>
      </c>
      <c r="G222" s="19" t="s">
        <v>8</v>
      </c>
      <c r="H222" s="19" t="s">
        <v>193</v>
      </c>
      <c r="I222" s="19" t="s">
        <v>379</v>
      </c>
      <c r="J222" s="19" t="s">
        <v>852</v>
      </c>
      <c r="K222" s="20" t="s">
        <v>1326</v>
      </c>
      <c r="L222" s="23">
        <v>70710</v>
      </c>
      <c r="M222" s="23">
        <v>171342</v>
      </c>
      <c r="N222" s="23">
        <v>171342</v>
      </c>
      <c r="O222" s="21">
        <v>19284</v>
      </c>
      <c r="P222" s="21">
        <v>53568</v>
      </c>
      <c r="Q222" s="21">
        <v>118206</v>
      </c>
      <c r="R222" s="21">
        <v>243540</v>
      </c>
      <c r="S222" s="21">
        <v>111564</v>
      </c>
      <c r="T222" s="21">
        <v>29998</v>
      </c>
      <c r="U222" s="21"/>
      <c r="V222" s="21">
        <v>8178</v>
      </c>
      <c r="W222" s="21"/>
      <c r="X222" s="21"/>
      <c r="Y222" s="21"/>
      <c r="Z222" s="19" t="s">
        <v>373</v>
      </c>
      <c r="AA222" s="19" t="s">
        <v>282</v>
      </c>
    </row>
    <row r="223" spans="1:27" s="80" customFormat="1" ht="37.5" x14ac:dyDescent="0.3">
      <c r="A223" s="7">
        <v>222</v>
      </c>
      <c r="B223" s="75" t="s">
        <v>68</v>
      </c>
      <c r="C223" s="74"/>
      <c r="D223" s="89"/>
      <c r="E223" s="24" t="s">
        <v>135</v>
      </c>
      <c r="F223" s="74" t="s">
        <v>417</v>
      </c>
      <c r="G223" s="74" t="s">
        <v>8</v>
      </c>
      <c r="H223" s="74" t="s">
        <v>32</v>
      </c>
      <c r="I223" s="74" t="s">
        <v>417</v>
      </c>
      <c r="J223" s="74"/>
      <c r="K223" s="75" t="s">
        <v>1439</v>
      </c>
      <c r="L223" s="76">
        <v>3541210</v>
      </c>
      <c r="M223" s="69">
        <v>3909034</v>
      </c>
      <c r="N223" s="69">
        <v>3858548</v>
      </c>
      <c r="O223" s="17">
        <v>3738344</v>
      </c>
      <c r="P223" s="17">
        <v>3856144</v>
      </c>
      <c r="Q223" s="7">
        <v>3723920</v>
      </c>
      <c r="R223" s="7">
        <v>3860952</v>
      </c>
      <c r="S223" s="17">
        <v>3978752</v>
      </c>
      <c r="T223" s="17">
        <v>3892206</v>
      </c>
      <c r="U223" s="17">
        <v>3902399</v>
      </c>
      <c r="V223" s="78" t="s">
        <v>1417</v>
      </c>
      <c r="W223" s="78" t="s">
        <v>1417</v>
      </c>
      <c r="X223" s="78" t="s">
        <v>1417</v>
      </c>
      <c r="Y223" s="78" t="s">
        <v>1417</v>
      </c>
      <c r="Z223" s="74"/>
      <c r="AA223" s="74"/>
    </row>
    <row r="224" spans="1:27" s="3" customFormat="1" ht="37.5" x14ac:dyDescent="0.3">
      <c r="A224" s="7">
        <v>223</v>
      </c>
      <c r="B224" s="20" t="s">
        <v>68</v>
      </c>
      <c r="C224" s="52" t="e">
        <f>VLOOKUP(I224,#REF!,7,0)</f>
        <v>#REF!</v>
      </c>
      <c r="D224" s="19" t="e">
        <f>VLOOKUP(I224,#REF!,14,0)</f>
        <v>#REF!</v>
      </c>
      <c r="E224" s="20" t="s">
        <v>432</v>
      </c>
      <c r="F224" s="19" t="s">
        <v>428</v>
      </c>
      <c r="G224" s="19" t="s">
        <v>8</v>
      </c>
      <c r="H224" s="19"/>
      <c r="I224" s="19" t="s">
        <v>428</v>
      </c>
      <c r="J224" s="19" t="s">
        <v>933</v>
      </c>
      <c r="K224" s="20" t="s">
        <v>1241</v>
      </c>
      <c r="L224" s="23">
        <v>456883</v>
      </c>
      <c r="M224" s="23" t="s">
        <v>1416</v>
      </c>
      <c r="N224" s="23" t="s">
        <v>1416</v>
      </c>
      <c r="O224" s="21">
        <v>513730</v>
      </c>
      <c r="P224" s="21"/>
      <c r="Q224" s="21"/>
      <c r="R224" s="21">
        <v>124848</v>
      </c>
      <c r="S224" s="21"/>
      <c r="T224" s="21">
        <v>222977</v>
      </c>
      <c r="U224" s="21"/>
      <c r="V224" s="21"/>
      <c r="W224" s="21"/>
      <c r="X224" s="21"/>
      <c r="Y224" s="21"/>
      <c r="Z224" s="19"/>
      <c r="AA224" s="19" t="s">
        <v>429</v>
      </c>
    </row>
    <row r="225" spans="1:27" s="13" customFormat="1" ht="37.5" x14ac:dyDescent="0.3">
      <c r="A225" s="7">
        <v>224</v>
      </c>
      <c r="B225" s="26" t="s">
        <v>68</v>
      </c>
      <c r="C225" s="53"/>
      <c r="D225" s="48" t="s">
        <v>636</v>
      </c>
      <c r="E225" s="25" t="s">
        <v>415</v>
      </c>
      <c r="F225" s="25" t="s">
        <v>430</v>
      </c>
      <c r="G225" s="25" t="s">
        <v>8</v>
      </c>
      <c r="H225" s="25"/>
      <c r="I225" s="25" t="s">
        <v>430</v>
      </c>
      <c r="J225" s="25" t="s">
        <v>828</v>
      </c>
      <c r="K225" s="26" t="s">
        <v>1242</v>
      </c>
      <c r="L225" s="69">
        <v>614103</v>
      </c>
      <c r="M225" s="69">
        <v>1500509</v>
      </c>
      <c r="N225" s="69">
        <v>1534140</v>
      </c>
      <c r="O225" s="18">
        <v>1773295</v>
      </c>
      <c r="P225" s="18">
        <v>1919030</v>
      </c>
      <c r="Q225" s="18">
        <v>5360623</v>
      </c>
      <c r="R225" s="25"/>
      <c r="S225" s="27"/>
      <c r="T225" s="27"/>
      <c r="U225" s="27"/>
      <c r="V225" s="27"/>
      <c r="W225" s="27"/>
      <c r="X225" s="27"/>
      <c r="Y225" s="27"/>
      <c r="Z225" s="25"/>
      <c r="AA225" s="28"/>
    </row>
    <row r="226" spans="1:27" s="13" customFormat="1" ht="37.5" x14ac:dyDescent="0.3">
      <c r="A226" s="7">
        <v>225</v>
      </c>
      <c r="B226" s="26" t="s">
        <v>68</v>
      </c>
      <c r="C226" s="53"/>
      <c r="D226" s="48" t="s">
        <v>636</v>
      </c>
      <c r="E226" s="25" t="s">
        <v>415</v>
      </c>
      <c r="F226" s="25" t="s">
        <v>431</v>
      </c>
      <c r="G226" s="25" t="s">
        <v>8</v>
      </c>
      <c r="H226" s="25"/>
      <c r="I226" s="25" t="s">
        <v>431</v>
      </c>
      <c r="J226" s="25" t="s">
        <v>829</v>
      </c>
      <c r="K226" s="26" t="s">
        <v>1243</v>
      </c>
      <c r="L226" s="69">
        <v>487827</v>
      </c>
      <c r="M226" s="69">
        <v>860166</v>
      </c>
      <c r="N226" s="69">
        <v>1444457</v>
      </c>
      <c r="O226" s="18">
        <v>1066392</v>
      </c>
      <c r="P226" s="18">
        <v>950616</v>
      </c>
      <c r="Q226" s="18">
        <v>4351687</v>
      </c>
      <c r="R226" s="25"/>
      <c r="S226" s="27"/>
      <c r="T226" s="27"/>
      <c r="U226" s="27"/>
      <c r="V226" s="27"/>
      <c r="W226" s="27"/>
      <c r="X226" s="27"/>
      <c r="Y226" s="27"/>
      <c r="Z226" s="25"/>
      <c r="AA226" s="28"/>
    </row>
    <row r="227" spans="1:27" s="3" customFormat="1" ht="37.5" x14ac:dyDescent="0.3">
      <c r="A227" s="7">
        <v>226</v>
      </c>
      <c r="B227" s="39" t="s">
        <v>68</v>
      </c>
      <c r="C227" s="54" t="s">
        <v>505</v>
      </c>
      <c r="D227" s="40" t="s">
        <v>636</v>
      </c>
      <c r="E227" s="19" t="s">
        <v>590</v>
      </c>
      <c r="F227" s="19" t="s">
        <v>433</v>
      </c>
      <c r="G227" s="19">
        <v>12345678</v>
      </c>
      <c r="H227" s="19"/>
      <c r="I227" s="39" t="s">
        <v>433</v>
      </c>
      <c r="J227" s="39" t="s">
        <v>709</v>
      </c>
      <c r="K227" s="39" t="s">
        <v>1077</v>
      </c>
      <c r="L227" s="97"/>
      <c r="M227" s="97"/>
      <c r="N227" s="97"/>
      <c r="O227" s="21"/>
      <c r="P227" s="92"/>
      <c r="Q227" s="40"/>
      <c r="R227" s="40"/>
      <c r="S227" s="21"/>
      <c r="T227" s="21"/>
      <c r="U227" s="21"/>
      <c r="V227" s="21"/>
      <c r="W227" s="21"/>
      <c r="X227" s="21"/>
      <c r="Y227" s="21"/>
      <c r="Z227" s="19"/>
      <c r="AA227" s="40" t="s">
        <v>469</v>
      </c>
    </row>
    <row r="228" spans="1:27" s="3" customFormat="1" ht="37.5" x14ac:dyDescent="0.3">
      <c r="A228" s="7">
        <v>227</v>
      </c>
      <c r="B228" s="39" t="s">
        <v>68</v>
      </c>
      <c r="C228" s="54" t="s">
        <v>506</v>
      </c>
      <c r="D228" s="40" t="s">
        <v>636</v>
      </c>
      <c r="E228" s="19" t="s">
        <v>590</v>
      </c>
      <c r="F228" s="39" t="s">
        <v>434</v>
      </c>
      <c r="G228" s="19">
        <v>12345678</v>
      </c>
      <c r="H228" s="19"/>
      <c r="I228" s="39" t="s">
        <v>434</v>
      </c>
      <c r="J228" s="39" t="s">
        <v>741</v>
      </c>
      <c r="K228" s="39" t="s">
        <v>1078</v>
      </c>
      <c r="L228" s="97"/>
      <c r="M228" s="97"/>
      <c r="N228" s="97"/>
      <c r="O228" s="21"/>
      <c r="P228" s="92"/>
      <c r="Q228" s="40"/>
      <c r="R228" s="40"/>
      <c r="S228" s="21"/>
      <c r="T228" s="21"/>
      <c r="U228" s="21"/>
      <c r="V228" s="21"/>
      <c r="W228" s="21"/>
      <c r="X228" s="21"/>
      <c r="Y228" s="21"/>
      <c r="Z228" s="19"/>
      <c r="AA228" s="40" t="s">
        <v>470</v>
      </c>
    </row>
    <row r="229" spans="1:27" s="3" customFormat="1" ht="37.5" x14ac:dyDescent="0.3">
      <c r="A229" s="7">
        <v>228</v>
      </c>
      <c r="B229" s="39" t="s">
        <v>68</v>
      </c>
      <c r="C229" s="54" t="s">
        <v>507</v>
      </c>
      <c r="D229" s="40" t="s">
        <v>636</v>
      </c>
      <c r="E229" s="19" t="s">
        <v>590</v>
      </c>
      <c r="F229" s="39" t="s">
        <v>435</v>
      </c>
      <c r="G229" s="19">
        <v>12345678</v>
      </c>
      <c r="H229" s="19"/>
      <c r="I229" s="39" t="s">
        <v>435</v>
      </c>
      <c r="J229" s="39" t="s">
        <v>742</v>
      </c>
      <c r="K229" s="39" t="s">
        <v>1079</v>
      </c>
      <c r="L229" s="97"/>
      <c r="M229" s="97"/>
      <c r="N229" s="97"/>
      <c r="O229" s="21"/>
      <c r="P229" s="92"/>
      <c r="Q229" s="40"/>
      <c r="R229" s="40"/>
      <c r="S229" s="21"/>
      <c r="T229" s="21"/>
      <c r="U229" s="21"/>
      <c r="V229" s="21"/>
      <c r="W229" s="21"/>
      <c r="X229" s="21"/>
      <c r="Y229" s="21"/>
      <c r="Z229" s="19"/>
      <c r="AA229" s="40" t="s">
        <v>471</v>
      </c>
    </row>
    <row r="230" spans="1:27" s="13" customFormat="1" ht="37.5" x14ac:dyDescent="0.3">
      <c r="A230" s="7">
        <v>229</v>
      </c>
      <c r="B230" s="47" t="s">
        <v>68</v>
      </c>
      <c r="C230" s="55" t="s">
        <v>508</v>
      </c>
      <c r="D230" s="37" t="s">
        <v>636</v>
      </c>
      <c r="E230" s="25" t="s">
        <v>415</v>
      </c>
      <c r="F230" s="47" t="s">
        <v>436</v>
      </c>
      <c r="G230" s="25" t="s">
        <v>8</v>
      </c>
      <c r="H230" s="25"/>
      <c r="I230" s="47" t="s">
        <v>436</v>
      </c>
      <c r="J230" s="47" t="s">
        <v>710</v>
      </c>
      <c r="K230" s="47" t="s">
        <v>1080</v>
      </c>
      <c r="L230" s="96"/>
      <c r="M230" s="96" t="s">
        <v>1454</v>
      </c>
      <c r="N230" s="96"/>
      <c r="O230" s="93" t="s">
        <v>1022</v>
      </c>
      <c r="P230" s="93"/>
      <c r="Q230" s="37"/>
      <c r="R230" s="37"/>
      <c r="S230" s="27"/>
      <c r="T230" s="27"/>
      <c r="U230" s="27"/>
      <c r="V230" s="27"/>
      <c r="W230" s="27"/>
      <c r="X230" s="27"/>
      <c r="Y230" s="27"/>
      <c r="Z230" s="25"/>
      <c r="AA230" s="37" t="s">
        <v>472</v>
      </c>
    </row>
    <row r="231" spans="1:27" s="3" customFormat="1" ht="37.5" x14ac:dyDescent="0.3">
      <c r="A231" s="7">
        <v>230</v>
      </c>
      <c r="B231" s="39" t="s">
        <v>68</v>
      </c>
      <c r="C231" s="54" t="s">
        <v>509</v>
      </c>
      <c r="D231" s="40" t="s">
        <v>636</v>
      </c>
      <c r="E231" s="19" t="s">
        <v>1453</v>
      </c>
      <c r="F231" s="39" t="s">
        <v>437</v>
      </c>
      <c r="G231" s="19" t="s">
        <v>8</v>
      </c>
      <c r="H231" s="19"/>
      <c r="I231" s="39" t="s">
        <v>437</v>
      </c>
      <c r="J231" s="39" t="s">
        <v>743</v>
      </c>
      <c r="K231" s="39" t="s">
        <v>1081</v>
      </c>
      <c r="L231" s="97">
        <v>1732190</v>
      </c>
      <c r="M231" s="97">
        <v>4893523</v>
      </c>
      <c r="N231" s="97" t="s">
        <v>1416</v>
      </c>
      <c r="O231" s="92">
        <v>3791167</v>
      </c>
      <c r="P231" s="92">
        <v>1687349</v>
      </c>
      <c r="Q231" s="92">
        <v>436320</v>
      </c>
      <c r="R231" s="40"/>
      <c r="S231" s="21"/>
      <c r="T231" s="21"/>
      <c r="U231" s="21"/>
      <c r="V231" s="21"/>
      <c r="W231" s="21"/>
      <c r="X231" s="21"/>
      <c r="Y231" s="21"/>
      <c r="Z231" s="19"/>
      <c r="AA231" s="40" t="s">
        <v>473</v>
      </c>
    </row>
    <row r="232" spans="1:27" s="13" customFormat="1" ht="37.5" x14ac:dyDescent="0.3">
      <c r="A232" s="7">
        <v>231</v>
      </c>
      <c r="B232" s="47" t="s">
        <v>68</v>
      </c>
      <c r="C232" s="55" t="s">
        <v>510</v>
      </c>
      <c r="D232" s="37" t="s">
        <v>636</v>
      </c>
      <c r="E232" s="25" t="s">
        <v>415</v>
      </c>
      <c r="F232" s="47" t="s">
        <v>438</v>
      </c>
      <c r="G232" s="25" t="s">
        <v>8</v>
      </c>
      <c r="H232" s="25"/>
      <c r="I232" s="47" t="s">
        <v>438</v>
      </c>
      <c r="J232" s="47" t="s">
        <v>717</v>
      </c>
      <c r="K232" s="47" t="s">
        <v>1082</v>
      </c>
      <c r="L232" s="72">
        <v>44997</v>
      </c>
      <c r="M232" s="72">
        <v>68567</v>
      </c>
      <c r="N232" s="96" t="s">
        <v>1416</v>
      </c>
      <c r="O232" s="93" t="s">
        <v>1022</v>
      </c>
      <c r="P232" s="93"/>
      <c r="Q232" s="37"/>
      <c r="R232" s="37"/>
      <c r="S232" s="27"/>
      <c r="T232" s="27"/>
      <c r="U232" s="27"/>
      <c r="V232" s="27"/>
      <c r="W232" s="27"/>
      <c r="X232" s="27"/>
      <c r="Y232" s="27"/>
      <c r="Z232" s="25"/>
      <c r="AA232" s="37" t="s">
        <v>474</v>
      </c>
    </row>
    <row r="233" spans="1:27" s="3" customFormat="1" ht="37.5" x14ac:dyDescent="0.3">
      <c r="A233" s="7">
        <v>232</v>
      </c>
      <c r="B233" s="39" t="s">
        <v>68</v>
      </c>
      <c r="C233" s="54" t="s">
        <v>511</v>
      </c>
      <c r="D233" s="40" t="s">
        <v>636</v>
      </c>
      <c r="E233" s="19" t="s">
        <v>590</v>
      </c>
      <c r="F233" s="39" t="s">
        <v>439</v>
      </c>
      <c r="G233" s="19">
        <v>12345678</v>
      </c>
      <c r="H233" s="19"/>
      <c r="I233" s="39" t="s">
        <v>439</v>
      </c>
      <c r="J233" s="39" t="s">
        <v>711</v>
      </c>
      <c r="K233" s="39" t="s">
        <v>1083</v>
      </c>
      <c r="L233" s="97"/>
      <c r="M233" s="97"/>
      <c r="N233" s="97"/>
      <c r="O233" s="21"/>
      <c r="P233" s="92"/>
      <c r="Q233" s="40"/>
      <c r="R233" s="40"/>
      <c r="S233" s="21"/>
      <c r="T233" s="21"/>
      <c r="U233" s="21"/>
      <c r="V233" s="21"/>
      <c r="W233" s="21"/>
      <c r="X233" s="21"/>
      <c r="Y233" s="21"/>
      <c r="Z233" s="19"/>
      <c r="AA233" s="40" t="s">
        <v>475</v>
      </c>
    </row>
    <row r="234" spans="1:27" s="3" customFormat="1" ht="37.5" x14ac:dyDescent="0.3">
      <c r="A234" s="7">
        <v>233</v>
      </c>
      <c r="B234" s="39" t="s">
        <v>68</v>
      </c>
      <c r="C234" s="54" t="s">
        <v>512</v>
      </c>
      <c r="D234" s="40" t="s">
        <v>636</v>
      </c>
      <c r="E234" s="19" t="s">
        <v>590</v>
      </c>
      <c r="F234" s="39" t="s">
        <v>440</v>
      </c>
      <c r="G234" s="19">
        <v>12345678</v>
      </c>
      <c r="H234" s="19"/>
      <c r="I234" s="39" t="s">
        <v>440</v>
      </c>
      <c r="J234" s="39" t="s">
        <v>744</v>
      </c>
      <c r="K234" s="39" t="s">
        <v>1084</v>
      </c>
      <c r="L234" s="97"/>
      <c r="M234" s="97"/>
      <c r="N234" s="97"/>
      <c r="O234" s="21"/>
      <c r="P234" s="92"/>
      <c r="Q234" s="40"/>
      <c r="R234" s="40"/>
      <c r="S234" s="21"/>
      <c r="T234" s="21"/>
      <c r="U234" s="21"/>
      <c r="V234" s="21"/>
      <c r="W234" s="21"/>
      <c r="X234" s="21"/>
      <c r="Y234" s="21"/>
      <c r="Z234" s="19"/>
      <c r="AA234" s="40" t="s">
        <v>476</v>
      </c>
    </row>
    <row r="235" spans="1:27" s="13" customFormat="1" ht="37.5" x14ac:dyDescent="0.3">
      <c r="A235" s="7">
        <v>234</v>
      </c>
      <c r="B235" s="47" t="s">
        <v>68</v>
      </c>
      <c r="C235" s="55" t="s">
        <v>513</v>
      </c>
      <c r="D235" s="37" t="s">
        <v>636</v>
      </c>
      <c r="E235" s="25" t="s">
        <v>415</v>
      </c>
      <c r="F235" s="47" t="s">
        <v>441</v>
      </c>
      <c r="G235" s="25" t="s">
        <v>8</v>
      </c>
      <c r="H235" s="25"/>
      <c r="I235" s="47" t="s">
        <v>441</v>
      </c>
      <c r="J235" s="47" t="s">
        <v>745</v>
      </c>
      <c r="K235" s="47" t="s">
        <v>1085</v>
      </c>
      <c r="L235" s="96" t="s">
        <v>1416</v>
      </c>
      <c r="M235" s="72">
        <v>120420</v>
      </c>
      <c r="N235" s="96" t="s">
        <v>1416</v>
      </c>
      <c r="O235" s="93" t="s">
        <v>1022</v>
      </c>
      <c r="P235" s="93"/>
      <c r="Q235" s="37"/>
      <c r="R235" s="37"/>
      <c r="S235" s="27"/>
      <c r="T235" s="27"/>
      <c r="U235" s="27"/>
      <c r="V235" s="27"/>
      <c r="W235" s="27"/>
      <c r="X235" s="27"/>
      <c r="Y235" s="27"/>
      <c r="Z235" s="25"/>
      <c r="AA235" s="37" t="s">
        <v>477</v>
      </c>
    </row>
    <row r="236" spans="1:27" s="3" customFormat="1" ht="37.5" x14ac:dyDescent="0.3">
      <c r="A236" s="7">
        <v>235</v>
      </c>
      <c r="B236" s="39" t="s">
        <v>68</v>
      </c>
      <c r="C236" s="54" t="s">
        <v>514</v>
      </c>
      <c r="D236" s="40" t="s">
        <v>636</v>
      </c>
      <c r="E236" s="19" t="s">
        <v>590</v>
      </c>
      <c r="F236" s="39" t="s">
        <v>442</v>
      </c>
      <c r="G236" s="19">
        <v>12345678</v>
      </c>
      <c r="H236" s="19"/>
      <c r="I236" s="39" t="s">
        <v>442</v>
      </c>
      <c r="J236" s="39" t="s">
        <v>746</v>
      </c>
      <c r="K236" s="39" t="s">
        <v>1086</v>
      </c>
      <c r="L236" s="97"/>
      <c r="M236" s="97"/>
      <c r="N236" s="97"/>
      <c r="O236" s="21"/>
      <c r="P236" s="92"/>
      <c r="Q236" s="40"/>
      <c r="R236" s="40"/>
      <c r="S236" s="21"/>
      <c r="T236" s="21"/>
      <c r="U236" s="21"/>
      <c r="V236" s="21"/>
      <c r="W236" s="21"/>
      <c r="X236" s="21"/>
      <c r="Y236" s="21"/>
      <c r="Z236" s="19"/>
      <c r="AA236" s="40" t="s">
        <v>478</v>
      </c>
    </row>
    <row r="237" spans="1:27" s="3" customFormat="1" ht="37.5" x14ac:dyDescent="0.3">
      <c r="A237" s="7">
        <v>236</v>
      </c>
      <c r="B237" s="39" t="s">
        <v>68</v>
      </c>
      <c r="C237" s="54" t="s">
        <v>515</v>
      </c>
      <c r="D237" s="40" t="s">
        <v>636</v>
      </c>
      <c r="E237" s="19" t="s">
        <v>590</v>
      </c>
      <c r="F237" s="39" t="s">
        <v>443</v>
      </c>
      <c r="G237" s="19">
        <v>12345678</v>
      </c>
      <c r="H237" s="19"/>
      <c r="I237" s="39" t="s">
        <v>443</v>
      </c>
      <c r="J237" s="39" t="s">
        <v>747</v>
      </c>
      <c r="K237" s="39" t="s">
        <v>1087</v>
      </c>
      <c r="L237" s="97"/>
      <c r="M237" s="97"/>
      <c r="N237" s="97"/>
      <c r="O237" s="21"/>
      <c r="P237" s="92"/>
      <c r="Q237" s="40"/>
      <c r="R237" s="40"/>
      <c r="S237" s="21"/>
      <c r="T237" s="21"/>
      <c r="U237" s="21"/>
      <c r="V237" s="21"/>
      <c r="W237" s="21"/>
      <c r="X237" s="21"/>
      <c r="Y237" s="21"/>
      <c r="Z237" s="19"/>
      <c r="AA237" s="40" t="s">
        <v>479</v>
      </c>
    </row>
    <row r="238" spans="1:27" s="3" customFormat="1" ht="37.5" x14ac:dyDescent="0.3">
      <c r="A238" s="7">
        <v>237</v>
      </c>
      <c r="B238" s="39" t="s">
        <v>68</v>
      </c>
      <c r="C238" s="54" t="s">
        <v>516</v>
      </c>
      <c r="D238" s="40" t="s">
        <v>636</v>
      </c>
      <c r="E238" s="19" t="s">
        <v>1453</v>
      </c>
      <c r="F238" s="39" t="s">
        <v>444</v>
      </c>
      <c r="G238" s="19" t="s">
        <v>8</v>
      </c>
      <c r="H238" s="19"/>
      <c r="I238" s="39" t="s">
        <v>444</v>
      </c>
      <c r="J238" s="39" t="s">
        <v>748</v>
      </c>
      <c r="K238" s="39" t="s">
        <v>1088</v>
      </c>
      <c r="L238" s="97">
        <v>1552824</v>
      </c>
      <c r="M238" s="97">
        <v>3204490</v>
      </c>
      <c r="N238" s="97" t="s">
        <v>1416</v>
      </c>
      <c r="O238" s="92">
        <v>2572970</v>
      </c>
      <c r="P238" s="92">
        <v>1135134</v>
      </c>
      <c r="Q238" s="92">
        <v>122634</v>
      </c>
      <c r="R238" s="40"/>
      <c r="S238" s="21"/>
      <c r="T238" s="21"/>
      <c r="U238" s="21"/>
      <c r="V238" s="21"/>
      <c r="W238" s="21"/>
      <c r="X238" s="21"/>
      <c r="Y238" s="21"/>
      <c r="Z238" s="19"/>
      <c r="AA238" s="40" t="s">
        <v>480</v>
      </c>
    </row>
    <row r="239" spans="1:27" s="13" customFormat="1" ht="37.5" x14ac:dyDescent="0.3">
      <c r="A239" s="7">
        <v>238</v>
      </c>
      <c r="B239" s="47" t="s">
        <v>68</v>
      </c>
      <c r="C239" s="55" t="s">
        <v>517</v>
      </c>
      <c r="D239" s="37" t="s">
        <v>636</v>
      </c>
      <c r="E239" s="25" t="s">
        <v>415</v>
      </c>
      <c r="F239" s="47" t="s">
        <v>445</v>
      </c>
      <c r="G239" s="25" t="s">
        <v>8</v>
      </c>
      <c r="H239" s="25"/>
      <c r="I239" s="47" t="s">
        <v>445</v>
      </c>
      <c r="J239" s="47" t="s">
        <v>721</v>
      </c>
      <c r="K239" s="47" t="s">
        <v>1089</v>
      </c>
      <c r="L239" s="96"/>
      <c r="M239" s="96" t="s">
        <v>1454</v>
      </c>
      <c r="N239" s="96"/>
      <c r="O239" s="93" t="s">
        <v>1022</v>
      </c>
      <c r="P239" s="93"/>
      <c r="Q239" s="37"/>
      <c r="R239" s="37"/>
      <c r="S239" s="27"/>
      <c r="T239" s="27"/>
      <c r="U239" s="27"/>
      <c r="V239" s="27"/>
      <c r="W239" s="27"/>
      <c r="X239" s="27"/>
      <c r="Y239" s="27"/>
      <c r="Z239" s="25"/>
      <c r="AA239" s="37" t="s">
        <v>481</v>
      </c>
    </row>
    <row r="240" spans="1:27" s="13" customFormat="1" ht="37.5" x14ac:dyDescent="0.3">
      <c r="A240" s="7">
        <v>239</v>
      </c>
      <c r="B240" s="47" t="s">
        <v>68</v>
      </c>
      <c r="C240" s="55" t="s">
        <v>518</v>
      </c>
      <c r="D240" s="37" t="s">
        <v>636</v>
      </c>
      <c r="E240" s="25" t="s">
        <v>415</v>
      </c>
      <c r="F240" s="47" t="s">
        <v>446</v>
      </c>
      <c r="G240" s="25" t="s">
        <v>8</v>
      </c>
      <c r="H240" s="25"/>
      <c r="I240" s="47" t="s">
        <v>446</v>
      </c>
      <c r="J240" s="47" t="s">
        <v>727</v>
      </c>
      <c r="K240" s="47" t="s">
        <v>1090</v>
      </c>
      <c r="L240" s="96"/>
      <c r="M240" s="96" t="s">
        <v>1454</v>
      </c>
      <c r="N240" s="96"/>
      <c r="O240" s="93" t="s">
        <v>1022</v>
      </c>
      <c r="P240" s="93"/>
      <c r="Q240" s="37"/>
      <c r="R240" s="37"/>
      <c r="S240" s="27"/>
      <c r="T240" s="27"/>
      <c r="U240" s="27"/>
      <c r="V240" s="27"/>
      <c r="W240" s="27"/>
      <c r="X240" s="27"/>
      <c r="Y240" s="27"/>
      <c r="Z240" s="25"/>
      <c r="AA240" s="37" t="s">
        <v>482</v>
      </c>
    </row>
    <row r="241" spans="1:27" s="3" customFormat="1" ht="37.5" x14ac:dyDescent="0.3">
      <c r="A241" s="7">
        <v>240</v>
      </c>
      <c r="B241" s="39" t="s">
        <v>68</v>
      </c>
      <c r="C241" s="54" t="s">
        <v>519</v>
      </c>
      <c r="D241" s="40" t="s">
        <v>636</v>
      </c>
      <c r="E241" s="19" t="s">
        <v>590</v>
      </c>
      <c r="F241" s="39" t="s">
        <v>447</v>
      </c>
      <c r="G241" s="19">
        <v>12345678</v>
      </c>
      <c r="H241" s="19"/>
      <c r="I241" s="39" t="s">
        <v>447</v>
      </c>
      <c r="J241" s="39" t="s">
        <v>749</v>
      </c>
      <c r="K241" s="39" t="s">
        <v>1091</v>
      </c>
      <c r="L241" s="97"/>
      <c r="M241" s="97"/>
      <c r="N241" s="97"/>
      <c r="O241" s="21"/>
      <c r="P241" s="92"/>
      <c r="Q241" s="40"/>
      <c r="R241" s="40"/>
      <c r="S241" s="21"/>
      <c r="T241" s="21"/>
      <c r="U241" s="21"/>
      <c r="V241" s="21"/>
      <c r="W241" s="21"/>
      <c r="X241" s="21"/>
      <c r="Y241" s="21"/>
      <c r="Z241" s="19"/>
      <c r="AA241" s="40" t="s">
        <v>483</v>
      </c>
    </row>
    <row r="242" spans="1:27" s="3" customFormat="1" ht="37.5" x14ac:dyDescent="0.3">
      <c r="A242" s="19">
        <v>241</v>
      </c>
      <c r="B242" s="39" t="s">
        <v>68</v>
      </c>
      <c r="C242" s="54" t="s">
        <v>520</v>
      </c>
      <c r="D242" s="40" t="s">
        <v>636</v>
      </c>
      <c r="E242" s="19" t="s">
        <v>1483</v>
      </c>
      <c r="F242" s="39" t="s">
        <v>448</v>
      </c>
      <c r="G242" s="19" t="s">
        <v>8</v>
      </c>
      <c r="H242" s="19"/>
      <c r="I242" s="39" t="s">
        <v>448</v>
      </c>
      <c r="J242" s="39" t="s">
        <v>750</v>
      </c>
      <c r="K242" s="39" t="s">
        <v>1092</v>
      </c>
      <c r="L242" s="97">
        <v>516968</v>
      </c>
      <c r="M242" s="97">
        <v>428609</v>
      </c>
      <c r="N242" s="97"/>
      <c r="O242" s="92">
        <v>446602</v>
      </c>
      <c r="P242" s="92"/>
      <c r="Q242" s="40"/>
      <c r="R242" s="40"/>
      <c r="S242" s="21"/>
      <c r="T242" s="21"/>
      <c r="U242" s="21"/>
      <c r="V242" s="21"/>
      <c r="W242" s="21"/>
      <c r="X242" s="21"/>
      <c r="Y242" s="21"/>
      <c r="Z242" s="19"/>
      <c r="AA242" s="40" t="s">
        <v>484</v>
      </c>
    </row>
    <row r="243" spans="1:27" s="3" customFormat="1" ht="37.5" x14ac:dyDescent="0.3">
      <c r="A243" s="7">
        <v>242</v>
      </c>
      <c r="B243" s="39" t="s">
        <v>68</v>
      </c>
      <c r="C243" s="54" t="s">
        <v>521</v>
      </c>
      <c r="D243" s="40" t="s">
        <v>636</v>
      </c>
      <c r="E243" s="19" t="s">
        <v>590</v>
      </c>
      <c r="F243" s="39" t="s">
        <v>449</v>
      </c>
      <c r="G243" s="19">
        <v>12345678</v>
      </c>
      <c r="H243" s="19"/>
      <c r="I243" s="39" t="s">
        <v>449</v>
      </c>
      <c r="J243" s="39" t="s">
        <v>718</v>
      </c>
      <c r="K243" s="39" t="s">
        <v>1093</v>
      </c>
      <c r="L243" s="97"/>
      <c r="M243" s="97"/>
      <c r="N243" s="97"/>
      <c r="O243" s="21"/>
      <c r="P243" s="92"/>
      <c r="Q243" s="40"/>
      <c r="R243" s="40"/>
      <c r="S243" s="21"/>
      <c r="T243" s="21"/>
      <c r="U243" s="21"/>
      <c r="V243" s="21"/>
      <c r="W243" s="21"/>
      <c r="X243" s="21"/>
      <c r="Y243" s="21"/>
      <c r="Z243" s="19"/>
      <c r="AA243" s="40" t="s">
        <v>485</v>
      </c>
    </row>
    <row r="244" spans="1:27" s="3" customFormat="1" ht="37.5" x14ac:dyDescent="0.3">
      <c r="A244" s="7">
        <v>243</v>
      </c>
      <c r="B244" s="39" t="s">
        <v>68</v>
      </c>
      <c r="C244" s="54" t="s">
        <v>522</v>
      </c>
      <c r="D244" s="40" t="s">
        <v>636</v>
      </c>
      <c r="E244" s="19" t="s">
        <v>590</v>
      </c>
      <c r="F244" s="39" t="s">
        <v>450</v>
      </c>
      <c r="G244" s="19">
        <v>12345678</v>
      </c>
      <c r="H244" s="19"/>
      <c r="I244" s="39" t="s">
        <v>450</v>
      </c>
      <c r="J244" s="39" t="s">
        <v>719</v>
      </c>
      <c r="K244" s="39" t="s">
        <v>1094</v>
      </c>
      <c r="L244" s="97"/>
      <c r="M244" s="97"/>
      <c r="N244" s="97"/>
      <c r="O244" s="21"/>
      <c r="P244" s="92"/>
      <c r="Q244" s="40"/>
      <c r="R244" s="40"/>
      <c r="S244" s="21"/>
      <c r="T244" s="21"/>
      <c r="U244" s="21"/>
      <c r="V244" s="21"/>
      <c r="W244" s="21"/>
      <c r="X244" s="21"/>
      <c r="Y244" s="21"/>
      <c r="Z244" s="19"/>
      <c r="AA244" s="40" t="s">
        <v>486</v>
      </c>
    </row>
    <row r="245" spans="1:27" s="3" customFormat="1" ht="37.5" x14ac:dyDescent="0.3">
      <c r="A245" s="7">
        <v>244</v>
      </c>
      <c r="B245" s="39" t="s">
        <v>68</v>
      </c>
      <c r="C245" s="54" t="s">
        <v>523</v>
      </c>
      <c r="D245" s="40" t="s">
        <v>636</v>
      </c>
      <c r="E245" s="19" t="s">
        <v>590</v>
      </c>
      <c r="F245" s="39" t="s">
        <v>451</v>
      </c>
      <c r="G245" s="19">
        <v>12345678</v>
      </c>
      <c r="H245" s="19"/>
      <c r="I245" s="39" t="s">
        <v>451</v>
      </c>
      <c r="J245" s="39" t="s">
        <v>751</v>
      </c>
      <c r="K245" s="39" t="s">
        <v>1095</v>
      </c>
      <c r="L245" s="97"/>
      <c r="M245" s="97"/>
      <c r="N245" s="97"/>
      <c r="O245" s="21"/>
      <c r="P245" s="92"/>
      <c r="Q245" s="40"/>
      <c r="R245" s="40"/>
      <c r="S245" s="21"/>
      <c r="T245" s="21"/>
      <c r="U245" s="21"/>
      <c r="V245" s="21"/>
      <c r="W245" s="21"/>
      <c r="X245" s="21"/>
      <c r="Y245" s="21"/>
      <c r="Z245" s="19"/>
      <c r="AA245" s="40" t="s">
        <v>487</v>
      </c>
    </row>
    <row r="246" spans="1:27" s="3" customFormat="1" ht="37.5" x14ac:dyDescent="0.3">
      <c r="A246" s="7">
        <v>245</v>
      </c>
      <c r="B246" s="39" t="s">
        <v>68</v>
      </c>
      <c r="C246" s="54" t="s">
        <v>524</v>
      </c>
      <c r="D246" s="40" t="s">
        <v>636</v>
      </c>
      <c r="E246" s="19" t="s">
        <v>1453</v>
      </c>
      <c r="F246" s="39" t="s">
        <v>452</v>
      </c>
      <c r="G246" s="19" t="s">
        <v>8</v>
      </c>
      <c r="H246" s="19"/>
      <c r="I246" s="39" t="s">
        <v>452</v>
      </c>
      <c r="J246" s="39" t="s">
        <v>703</v>
      </c>
      <c r="K246" s="39" t="s">
        <v>1096</v>
      </c>
      <c r="L246" s="97">
        <v>1836821</v>
      </c>
      <c r="M246" s="97">
        <v>3395066</v>
      </c>
      <c r="N246" s="97" t="s">
        <v>1416</v>
      </c>
      <c r="O246" s="92">
        <v>1407089</v>
      </c>
      <c r="P246" s="92">
        <v>820368</v>
      </c>
      <c r="Q246" s="92">
        <v>146988</v>
      </c>
      <c r="R246" s="40"/>
      <c r="S246" s="21"/>
      <c r="T246" s="21"/>
      <c r="U246" s="21"/>
      <c r="V246" s="21"/>
      <c r="W246" s="21"/>
      <c r="X246" s="21"/>
      <c r="Y246" s="21"/>
      <c r="Z246" s="19"/>
      <c r="AA246" s="40" t="s">
        <v>488</v>
      </c>
    </row>
    <row r="247" spans="1:27" s="3" customFormat="1" ht="37.5" x14ac:dyDescent="0.3">
      <c r="A247" s="7">
        <v>246</v>
      </c>
      <c r="B247" s="39" t="s">
        <v>68</v>
      </c>
      <c r="C247" s="54" t="s">
        <v>525</v>
      </c>
      <c r="D247" s="40" t="s">
        <v>636</v>
      </c>
      <c r="E247" s="19" t="s">
        <v>590</v>
      </c>
      <c r="F247" s="39" t="s">
        <v>453</v>
      </c>
      <c r="G247" s="19">
        <v>12345678</v>
      </c>
      <c r="H247" s="19"/>
      <c r="I247" s="39" t="s">
        <v>453</v>
      </c>
      <c r="J247" s="39" t="s">
        <v>704</v>
      </c>
      <c r="K247" s="39" t="s">
        <v>1097</v>
      </c>
      <c r="L247" s="97"/>
      <c r="M247" s="97"/>
      <c r="N247" s="97"/>
      <c r="O247" s="21"/>
      <c r="P247" s="92"/>
      <c r="Q247" s="40"/>
      <c r="R247" s="40"/>
      <c r="S247" s="21"/>
      <c r="T247" s="21"/>
      <c r="U247" s="21"/>
      <c r="V247" s="21"/>
      <c r="W247" s="21"/>
      <c r="X247" s="21"/>
      <c r="Y247" s="21"/>
      <c r="Z247" s="19"/>
      <c r="AA247" s="40" t="s">
        <v>489</v>
      </c>
    </row>
    <row r="248" spans="1:27" s="3" customFormat="1" ht="37.5" x14ac:dyDescent="0.3">
      <c r="A248" s="7">
        <v>247</v>
      </c>
      <c r="B248" s="39" t="s">
        <v>68</v>
      </c>
      <c r="C248" s="54" t="s">
        <v>526</v>
      </c>
      <c r="D248" s="40" t="s">
        <v>636</v>
      </c>
      <c r="E248" s="19" t="s">
        <v>590</v>
      </c>
      <c r="F248" s="39" t="s">
        <v>454</v>
      </c>
      <c r="G248" s="19">
        <v>12345678</v>
      </c>
      <c r="H248" s="19"/>
      <c r="I248" s="39" t="s">
        <v>454</v>
      </c>
      <c r="J248" s="39" t="s">
        <v>722</v>
      </c>
      <c r="K248" s="39" t="s">
        <v>1098</v>
      </c>
      <c r="L248" s="97"/>
      <c r="M248" s="97"/>
      <c r="N248" s="97"/>
      <c r="O248" s="21"/>
      <c r="P248" s="92"/>
      <c r="Q248" s="40"/>
      <c r="R248" s="40"/>
      <c r="S248" s="21"/>
      <c r="T248" s="21"/>
      <c r="U248" s="21"/>
      <c r="V248" s="21"/>
      <c r="W248" s="21"/>
      <c r="X248" s="21"/>
      <c r="Y248" s="21"/>
      <c r="Z248" s="19"/>
      <c r="AA248" s="40" t="s">
        <v>490</v>
      </c>
    </row>
    <row r="249" spans="1:27" s="13" customFormat="1" ht="37.5" x14ac:dyDescent="0.3">
      <c r="A249" s="7">
        <v>248</v>
      </c>
      <c r="B249" s="47" t="s">
        <v>68</v>
      </c>
      <c r="C249" s="55" t="s">
        <v>527</v>
      </c>
      <c r="D249" s="37" t="s">
        <v>636</v>
      </c>
      <c r="E249" s="25" t="s">
        <v>415</v>
      </c>
      <c r="F249" s="47" t="s">
        <v>455</v>
      </c>
      <c r="G249" s="25" t="s">
        <v>8</v>
      </c>
      <c r="H249" s="25"/>
      <c r="I249" s="47" t="s">
        <v>455</v>
      </c>
      <c r="J249" s="47" t="s">
        <v>712</v>
      </c>
      <c r="K249" s="47" t="s">
        <v>1099</v>
      </c>
      <c r="L249" s="96"/>
      <c r="M249" s="96" t="s">
        <v>1454</v>
      </c>
      <c r="N249" s="96"/>
      <c r="O249" s="93" t="s">
        <v>1022</v>
      </c>
      <c r="P249" s="93"/>
      <c r="Q249" s="37"/>
      <c r="R249" s="37"/>
      <c r="S249" s="27"/>
      <c r="T249" s="27"/>
      <c r="U249" s="27"/>
      <c r="V249" s="27"/>
      <c r="W249" s="27"/>
      <c r="X249" s="27"/>
      <c r="Y249" s="27"/>
      <c r="Z249" s="25"/>
      <c r="AA249" s="37" t="s">
        <v>491</v>
      </c>
    </row>
    <row r="250" spans="1:27" s="13" customFormat="1" ht="37.5" x14ac:dyDescent="0.3">
      <c r="A250" s="7">
        <v>249</v>
      </c>
      <c r="B250" s="47" t="s">
        <v>68</v>
      </c>
      <c r="C250" s="55" t="s">
        <v>528</v>
      </c>
      <c r="D250" s="37" t="s">
        <v>636</v>
      </c>
      <c r="E250" s="25" t="s">
        <v>415</v>
      </c>
      <c r="F250" s="47" t="s">
        <v>456</v>
      </c>
      <c r="G250" s="25" t="s">
        <v>8</v>
      </c>
      <c r="H250" s="25"/>
      <c r="I250" s="47" t="s">
        <v>456</v>
      </c>
      <c r="J250" s="47" t="s">
        <v>752</v>
      </c>
      <c r="K250" s="47" t="s">
        <v>1100</v>
      </c>
      <c r="L250" s="96"/>
      <c r="M250" s="96" t="s">
        <v>1454</v>
      </c>
      <c r="N250" s="96"/>
      <c r="O250" s="93" t="s">
        <v>1022</v>
      </c>
      <c r="P250" s="93"/>
      <c r="Q250" s="37"/>
      <c r="R250" s="37"/>
      <c r="S250" s="27"/>
      <c r="T250" s="27"/>
      <c r="U250" s="27"/>
      <c r="V250" s="27"/>
      <c r="W250" s="27"/>
      <c r="X250" s="27"/>
      <c r="Y250" s="27"/>
      <c r="Z250" s="25"/>
      <c r="AA250" s="37" t="s">
        <v>492</v>
      </c>
    </row>
    <row r="251" spans="1:27" s="3" customFormat="1" ht="37.5" x14ac:dyDescent="0.3">
      <c r="A251" s="7">
        <v>250</v>
      </c>
      <c r="B251" s="39" t="s">
        <v>68</v>
      </c>
      <c r="C251" s="54" t="s">
        <v>529</v>
      </c>
      <c r="D251" s="40" t="s">
        <v>636</v>
      </c>
      <c r="E251" s="19" t="s">
        <v>590</v>
      </c>
      <c r="F251" s="39" t="s">
        <v>457</v>
      </c>
      <c r="G251" s="19">
        <v>12345678</v>
      </c>
      <c r="H251" s="19"/>
      <c r="I251" s="39" t="s">
        <v>457</v>
      </c>
      <c r="J251" s="39" t="s">
        <v>723</v>
      </c>
      <c r="K251" s="39" t="s">
        <v>1101</v>
      </c>
      <c r="L251" s="97"/>
      <c r="M251" s="97"/>
      <c r="N251" s="97"/>
      <c r="O251" s="21"/>
      <c r="P251" s="92"/>
      <c r="Q251" s="40"/>
      <c r="R251" s="40"/>
      <c r="S251" s="21"/>
      <c r="T251" s="21"/>
      <c r="U251" s="21"/>
      <c r="V251" s="21"/>
      <c r="W251" s="21"/>
      <c r="X251" s="21"/>
      <c r="Y251" s="21"/>
      <c r="Z251" s="19"/>
      <c r="AA251" s="40" t="s">
        <v>493</v>
      </c>
    </row>
    <row r="252" spans="1:27" s="13" customFormat="1" ht="37.5" x14ac:dyDescent="0.3">
      <c r="A252" s="7">
        <v>251</v>
      </c>
      <c r="B252" s="47" t="s">
        <v>68</v>
      </c>
      <c r="C252" s="55" t="s">
        <v>530</v>
      </c>
      <c r="D252" s="37" t="s">
        <v>636</v>
      </c>
      <c r="E252" s="25" t="s">
        <v>415</v>
      </c>
      <c r="F252" s="47" t="s">
        <v>458</v>
      </c>
      <c r="G252" s="25" t="s">
        <v>8</v>
      </c>
      <c r="H252" s="25"/>
      <c r="I252" s="47" t="s">
        <v>458</v>
      </c>
      <c r="J252" s="47" t="s">
        <v>753</v>
      </c>
      <c r="K252" s="47" t="s">
        <v>1102</v>
      </c>
      <c r="L252" s="72">
        <v>197910</v>
      </c>
      <c r="M252" s="72">
        <v>302659</v>
      </c>
      <c r="N252" s="96" t="s">
        <v>1416</v>
      </c>
      <c r="O252" s="38">
        <v>2965334</v>
      </c>
      <c r="P252" s="93">
        <v>669146</v>
      </c>
      <c r="Q252" s="37"/>
      <c r="R252" s="37"/>
      <c r="S252" s="27"/>
      <c r="T252" s="27"/>
      <c r="U252" s="27"/>
      <c r="V252" s="27"/>
      <c r="W252" s="27"/>
      <c r="X252" s="27"/>
      <c r="Y252" s="27"/>
      <c r="Z252" s="25"/>
      <c r="AA252" s="37" t="s">
        <v>494</v>
      </c>
    </row>
    <row r="253" spans="1:27" s="3" customFormat="1" ht="37.5" x14ac:dyDescent="0.3">
      <c r="A253" s="19">
        <v>252</v>
      </c>
      <c r="B253" s="39" t="s">
        <v>68</v>
      </c>
      <c r="C253" s="54" t="s">
        <v>531</v>
      </c>
      <c r="D253" s="40" t="s">
        <v>636</v>
      </c>
      <c r="E253" s="19" t="s">
        <v>1482</v>
      </c>
      <c r="F253" s="39" t="s">
        <v>459</v>
      </c>
      <c r="G253" s="19" t="s">
        <v>8</v>
      </c>
      <c r="H253" s="19"/>
      <c r="I253" s="39" t="s">
        <v>459</v>
      </c>
      <c r="J253" s="39" t="s">
        <v>754</v>
      </c>
      <c r="K253" s="39" t="s">
        <v>1103</v>
      </c>
      <c r="L253" s="97">
        <v>186840</v>
      </c>
      <c r="M253" s="97">
        <v>27855</v>
      </c>
      <c r="N253" s="97" t="s">
        <v>1416</v>
      </c>
      <c r="O253" s="92"/>
      <c r="P253" s="92"/>
      <c r="Q253" s="40"/>
      <c r="R253" s="40"/>
      <c r="S253" s="21"/>
      <c r="T253" s="21"/>
      <c r="U253" s="21"/>
      <c r="V253" s="21"/>
      <c r="W253" s="21"/>
      <c r="X253" s="21"/>
      <c r="Y253" s="21"/>
      <c r="Z253" s="19"/>
      <c r="AA253" s="40" t="s">
        <v>495</v>
      </c>
    </row>
    <row r="254" spans="1:27" s="3" customFormat="1" ht="37.5" x14ac:dyDescent="0.3">
      <c r="A254" s="7">
        <v>253</v>
      </c>
      <c r="B254" s="39" t="s">
        <v>68</v>
      </c>
      <c r="C254" s="54" t="s">
        <v>532</v>
      </c>
      <c r="D254" s="40" t="s">
        <v>636</v>
      </c>
      <c r="E254" s="19" t="s">
        <v>590</v>
      </c>
      <c r="F254" s="39" t="s">
        <v>460</v>
      </c>
      <c r="G254" s="19">
        <v>12345678</v>
      </c>
      <c r="H254" s="19"/>
      <c r="I254" s="39" t="s">
        <v>460</v>
      </c>
      <c r="J254" s="39" t="s">
        <v>705</v>
      </c>
      <c r="K254" s="39" t="s">
        <v>1104</v>
      </c>
      <c r="L254" s="97"/>
      <c r="M254" s="97"/>
      <c r="N254" s="97"/>
      <c r="O254" s="21"/>
      <c r="P254" s="92"/>
      <c r="Q254" s="40"/>
      <c r="R254" s="40"/>
      <c r="S254" s="21"/>
      <c r="T254" s="21"/>
      <c r="U254" s="21"/>
      <c r="V254" s="21"/>
      <c r="W254" s="21"/>
      <c r="X254" s="21"/>
      <c r="Y254" s="21"/>
      <c r="Z254" s="19"/>
      <c r="AA254" s="40" t="s">
        <v>496</v>
      </c>
    </row>
    <row r="255" spans="1:27" s="3" customFormat="1" ht="37.5" x14ac:dyDescent="0.3">
      <c r="A255" s="7">
        <v>254</v>
      </c>
      <c r="B255" s="39" t="s">
        <v>68</v>
      </c>
      <c r="C255" s="54" t="s">
        <v>533</v>
      </c>
      <c r="D255" s="40" t="s">
        <v>636</v>
      </c>
      <c r="E255" s="19" t="s">
        <v>590</v>
      </c>
      <c r="F255" s="39" t="s">
        <v>461</v>
      </c>
      <c r="G255" s="19">
        <v>12345678</v>
      </c>
      <c r="H255" s="19"/>
      <c r="I255" s="39" t="s">
        <v>461</v>
      </c>
      <c r="J255" s="39" t="s">
        <v>755</v>
      </c>
      <c r="K255" s="39" t="s">
        <v>1105</v>
      </c>
      <c r="L255" s="97"/>
      <c r="M255" s="6"/>
      <c r="N255" s="97"/>
      <c r="O255" s="21"/>
      <c r="P255" s="92"/>
      <c r="Q255" s="40"/>
      <c r="R255" s="40"/>
      <c r="S255" s="21"/>
      <c r="T255" s="21"/>
      <c r="U255" s="21"/>
      <c r="V255" s="21"/>
      <c r="W255" s="21"/>
      <c r="X255" s="21"/>
      <c r="Y255" s="21"/>
      <c r="Z255" s="19"/>
      <c r="AA255" s="40" t="s">
        <v>497</v>
      </c>
    </row>
    <row r="256" spans="1:27" s="3" customFormat="1" ht="37.5" x14ac:dyDescent="0.3">
      <c r="A256" s="19">
        <v>255</v>
      </c>
      <c r="B256" s="39" t="s">
        <v>68</v>
      </c>
      <c r="C256" s="54" t="s">
        <v>534</v>
      </c>
      <c r="D256" s="40" t="s">
        <v>636</v>
      </c>
      <c r="E256" s="19" t="s">
        <v>1482</v>
      </c>
      <c r="F256" s="39" t="s">
        <v>462</v>
      </c>
      <c r="G256" s="19" t="s">
        <v>8</v>
      </c>
      <c r="H256" s="19"/>
      <c r="I256" s="39" t="s">
        <v>462</v>
      </c>
      <c r="J256" s="39" t="s">
        <v>706</v>
      </c>
      <c r="K256" s="39" t="s">
        <v>1106</v>
      </c>
      <c r="L256" s="97">
        <v>109350</v>
      </c>
      <c r="M256" s="97">
        <v>581725</v>
      </c>
      <c r="N256" s="97">
        <v>107136</v>
      </c>
      <c r="O256" s="92">
        <v>87852</v>
      </c>
      <c r="P256" s="92"/>
      <c r="Q256" s="40"/>
      <c r="R256" s="40"/>
      <c r="S256" s="21"/>
      <c r="T256" s="21"/>
      <c r="U256" s="21"/>
      <c r="V256" s="21"/>
      <c r="W256" s="21"/>
      <c r="X256" s="21"/>
      <c r="Y256" s="21"/>
      <c r="Z256" s="19"/>
      <c r="AA256" s="40" t="s">
        <v>498</v>
      </c>
    </row>
    <row r="257" spans="1:27" s="3" customFormat="1" ht="37.5" x14ac:dyDescent="0.3">
      <c r="A257" s="7">
        <v>256</v>
      </c>
      <c r="B257" s="39" t="s">
        <v>68</v>
      </c>
      <c r="C257" s="54" t="s">
        <v>535</v>
      </c>
      <c r="D257" s="40" t="s">
        <v>636</v>
      </c>
      <c r="E257" s="19" t="s">
        <v>590</v>
      </c>
      <c r="F257" s="39" t="s">
        <v>463</v>
      </c>
      <c r="G257" s="19">
        <v>12345678</v>
      </c>
      <c r="H257" s="19"/>
      <c r="I257" s="39" t="s">
        <v>463</v>
      </c>
      <c r="J257" s="39" t="s">
        <v>728</v>
      </c>
      <c r="K257" s="39" t="s">
        <v>1107</v>
      </c>
      <c r="L257" s="97"/>
      <c r="M257" s="97"/>
      <c r="N257" s="97"/>
      <c r="O257" s="21"/>
      <c r="P257" s="92"/>
      <c r="Q257" s="40"/>
      <c r="R257" s="40"/>
      <c r="S257" s="21"/>
      <c r="T257" s="21"/>
      <c r="U257" s="21"/>
      <c r="V257" s="21"/>
      <c r="W257" s="21"/>
      <c r="X257" s="21"/>
      <c r="Y257" s="21"/>
      <c r="Z257" s="19"/>
      <c r="AA257" s="40" t="s">
        <v>499</v>
      </c>
    </row>
    <row r="258" spans="1:27" s="13" customFormat="1" ht="37.5" x14ac:dyDescent="0.3">
      <c r="A258" s="7">
        <v>257</v>
      </c>
      <c r="B258" s="47" t="s">
        <v>68</v>
      </c>
      <c r="C258" s="55" t="s">
        <v>536</v>
      </c>
      <c r="D258" s="37" t="s">
        <v>636</v>
      </c>
      <c r="E258" s="25" t="s">
        <v>415</v>
      </c>
      <c r="F258" s="47" t="s">
        <v>464</v>
      </c>
      <c r="G258" s="25" t="s">
        <v>8</v>
      </c>
      <c r="H258" s="25"/>
      <c r="I258" s="47" t="s">
        <v>464</v>
      </c>
      <c r="J258" s="47" t="s">
        <v>731</v>
      </c>
      <c r="K258" s="47" t="s">
        <v>1108</v>
      </c>
      <c r="L258" s="96"/>
      <c r="M258" s="96" t="s">
        <v>1454</v>
      </c>
      <c r="N258" s="96"/>
      <c r="O258" s="93" t="s">
        <v>1022</v>
      </c>
      <c r="P258" s="93"/>
      <c r="Q258" s="37"/>
      <c r="R258" s="37"/>
      <c r="S258" s="27"/>
      <c r="T258" s="27"/>
      <c r="U258" s="27"/>
      <c r="V258" s="27"/>
      <c r="W258" s="27"/>
      <c r="X258" s="27"/>
      <c r="Y258" s="27"/>
      <c r="Z258" s="25"/>
      <c r="AA258" s="37" t="s">
        <v>500</v>
      </c>
    </row>
    <row r="259" spans="1:27" s="3" customFormat="1" ht="37.5" x14ac:dyDescent="0.3">
      <c r="A259" s="7">
        <v>258</v>
      </c>
      <c r="B259" s="39" t="s">
        <v>68</v>
      </c>
      <c r="C259" s="54" t="s">
        <v>537</v>
      </c>
      <c r="D259" s="40" t="s">
        <v>636</v>
      </c>
      <c r="E259" s="19" t="s">
        <v>590</v>
      </c>
      <c r="F259" s="39" t="s">
        <v>465</v>
      </c>
      <c r="G259" s="19">
        <v>12345678</v>
      </c>
      <c r="H259" s="19"/>
      <c r="I259" s="39" t="s">
        <v>465</v>
      </c>
      <c r="J259" s="39" t="s">
        <v>756</v>
      </c>
      <c r="K259" s="39" t="s">
        <v>1109</v>
      </c>
      <c r="L259" s="97"/>
      <c r="M259" s="97"/>
      <c r="N259" s="97"/>
      <c r="O259" s="21"/>
      <c r="P259" s="92"/>
      <c r="Q259" s="40"/>
      <c r="R259" s="40"/>
      <c r="S259" s="21"/>
      <c r="T259" s="21"/>
      <c r="U259" s="21"/>
      <c r="V259" s="21"/>
      <c r="W259" s="21"/>
      <c r="X259" s="21"/>
      <c r="Y259" s="21"/>
      <c r="Z259" s="19"/>
      <c r="AA259" s="40" t="s">
        <v>501</v>
      </c>
    </row>
    <row r="260" spans="1:27" s="3" customFormat="1" ht="37.5" x14ac:dyDescent="0.3">
      <c r="A260" s="7">
        <v>259</v>
      </c>
      <c r="B260" s="39" t="s">
        <v>68</v>
      </c>
      <c r="C260" s="54" t="s">
        <v>538</v>
      </c>
      <c r="D260" s="40" t="s">
        <v>636</v>
      </c>
      <c r="E260" s="19" t="s">
        <v>590</v>
      </c>
      <c r="F260" s="39" t="s">
        <v>466</v>
      </c>
      <c r="G260" s="19">
        <v>12345678</v>
      </c>
      <c r="H260" s="19"/>
      <c r="I260" s="39" t="s">
        <v>466</v>
      </c>
      <c r="J260" s="39" t="s">
        <v>732</v>
      </c>
      <c r="K260" s="39" t="s">
        <v>1110</v>
      </c>
      <c r="L260" s="97"/>
      <c r="M260" s="97"/>
      <c r="N260" s="97"/>
      <c r="O260" s="21"/>
      <c r="P260" s="92"/>
      <c r="Q260" s="40"/>
      <c r="R260" s="40"/>
      <c r="S260" s="21"/>
      <c r="T260" s="21"/>
      <c r="U260" s="21"/>
      <c r="V260" s="21"/>
      <c r="W260" s="21"/>
      <c r="X260" s="21"/>
      <c r="Y260" s="21"/>
      <c r="Z260" s="19"/>
      <c r="AA260" s="40" t="s">
        <v>502</v>
      </c>
    </row>
    <row r="261" spans="1:27" s="3" customFormat="1" ht="37.5" x14ac:dyDescent="0.3">
      <c r="A261" s="7">
        <v>260</v>
      </c>
      <c r="B261" s="39" t="s">
        <v>68</v>
      </c>
      <c r="C261" s="54" t="s">
        <v>539</v>
      </c>
      <c r="D261" s="40" t="s">
        <v>636</v>
      </c>
      <c r="E261" s="19" t="s">
        <v>590</v>
      </c>
      <c r="F261" s="39" t="s">
        <v>467</v>
      </c>
      <c r="G261" s="19">
        <v>12345678</v>
      </c>
      <c r="H261" s="19"/>
      <c r="I261" s="39" t="s">
        <v>467</v>
      </c>
      <c r="J261" s="39" t="s">
        <v>729</v>
      </c>
      <c r="K261" s="39" t="s">
        <v>1111</v>
      </c>
      <c r="L261" s="97"/>
      <c r="M261" s="97"/>
      <c r="N261" s="97"/>
      <c r="O261" s="21"/>
      <c r="P261" s="92"/>
      <c r="Q261" s="40"/>
      <c r="R261" s="40"/>
      <c r="S261" s="21"/>
      <c r="T261" s="21"/>
      <c r="U261" s="21"/>
      <c r="V261" s="21"/>
      <c r="W261" s="21"/>
      <c r="X261" s="21"/>
      <c r="Y261" s="21"/>
      <c r="Z261" s="19"/>
      <c r="AA261" s="40" t="s">
        <v>503</v>
      </c>
    </row>
    <row r="262" spans="1:27" s="3" customFormat="1" ht="37.5" x14ac:dyDescent="0.3">
      <c r="A262" s="7">
        <v>261</v>
      </c>
      <c r="B262" s="39" t="s">
        <v>68</v>
      </c>
      <c r="C262" s="54" t="s">
        <v>540</v>
      </c>
      <c r="D262" s="40" t="s">
        <v>636</v>
      </c>
      <c r="E262" s="19" t="s">
        <v>590</v>
      </c>
      <c r="F262" s="39" t="s">
        <v>468</v>
      </c>
      <c r="G262" s="19">
        <v>12345678</v>
      </c>
      <c r="H262" s="19"/>
      <c r="I262" s="39" t="s">
        <v>468</v>
      </c>
      <c r="J262" s="39" t="s">
        <v>733</v>
      </c>
      <c r="K262" s="39" t="s">
        <v>1112</v>
      </c>
      <c r="L262" s="97"/>
      <c r="M262" s="97"/>
      <c r="N262" s="97"/>
      <c r="O262" s="21"/>
      <c r="P262" s="92"/>
      <c r="Q262" s="40"/>
      <c r="R262" s="40"/>
      <c r="S262" s="21"/>
      <c r="T262" s="21"/>
      <c r="U262" s="21"/>
      <c r="V262" s="21"/>
      <c r="W262" s="21"/>
      <c r="X262" s="21"/>
      <c r="Y262" s="21"/>
      <c r="Z262" s="19"/>
      <c r="AA262" s="40" t="s">
        <v>504</v>
      </c>
    </row>
    <row r="263" spans="1:27" s="15" customFormat="1" ht="37.5" x14ac:dyDescent="0.3">
      <c r="A263" s="7">
        <v>262</v>
      </c>
      <c r="B263" s="61" t="s">
        <v>68</v>
      </c>
      <c r="C263" s="57"/>
      <c r="D263" s="9"/>
      <c r="E263" s="8" t="s">
        <v>135</v>
      </c>
      <c r="F263" s="10" t="s">
        <v>541</v>
      </c>
      <c r="G263" s="10" t="s">
        <v>8</v>
      </c>
      <c r="H263" s="10"/>
      <c r="I263" s="10" t="s">
        <v>541</v>
      </c>
      <c r="J263" s="10" t="s">
        <v>924</v>
      </c>
      <c r="K263" s="32" t="s">
        <v>1214</v>
      </c>
      <c r="L263" s="68"/>
      <c r="M263" s="68"/>
      <c r="N263" s="68" t="s">
        <v>1416</v>
      </c>
      <c r="O263" s="17">
        <v>2143</v>
      </c>
      <c r="P263" s="35"/>
      <c r="Q263" s="10"/>
      <c r="R263" s="10"/>
      <c r="S263" s="35"/>
      <c r="T263" s="35"/>
      <c r="U263" s="35"/>
      <c r="V263" s="35"/>
      <c r="W263" s="35"/>
      <c r="X263" s="35"/>
      <c r="Y263" s="35"/>
      <c r="Z263" s="10"/>
      <c r="AA263" s="111"/>
    </row>
    <row r="264" spans="1:27" s="3" customFormat="1" ht="37.5" x14ac:dyDescent="0.3">
      <c r="A264" s="19">
        <v>263</v>
      </c>
      <c r="B264" s="39" t="s">
        <v>68</v>
      </c>
      <c r="C264" s="52"/>
      <c r="D264" s="6"/>
      <c r="E264" s="20" t="s">
        <v>1457</v>
      </c>
      <c r="F264" s="19" t="s">
        <v>542</v>
      </c>
      <c r="G264" s="19" t="s">
        <v>8</v>
      </c>
      <c r="H264" s="19"/>
      <c r="I264" s="19" t="s">
        <v>542</v>
      </c>
      <c r="J264" s="19" t="s">
        <v>925</v>
      </c>
      <c r="K264" s="20" t="s">
        <v>1215</v>
      </c>
      <c r="L264" s="23">
        <v>2143</v>
      </c>
      <c r="M264" s="21">
        <v>2143</v>
      </c>
      <c r="N264" s="23"/>
      <c r="O264" s="21" t="s">
        <v>1024</v>
      </c>
      <c r="P264" s="21"/>
      <c r="Q264" s="19"/>
      <c r="R264" s="19"/>
      <c r="S264" s="21"/>
      <c r="T264" s="21"/>
      <c r="U264" s="21"/>
      <c r="V264" s="21"/>
      <c r="W264" s="21"/>
      <c r="X264" s="21"/>
      <c r="Y264" s="21"/>
      <c r="Z264" s="19"/>
      <c r="AA264" s="22"/>
    </row>
    <row r="265" spans="1:27" s="3" customFormat="1" ht="37.5" x14ac:dyDescent="0.3">
      <c r="A265" s="7">
        <v>264</v>
      </c>
      <c r="B265" s="39" t="s">
        <v>68</v>
      </c>
      <c r="C265" s="52"/>
      <c r="D265" s="6"/>
      <c r="E265" s="20" t="s">
        <v>1457</v>
      </c>
      <c r="F265" s="19" t="s">
        <v>543</v>
      </c>
      <c r="G265" s="19" t="s">
        <v>8</v>
      </c>
      <c r="H265" s="19"/>
      <c r="I265" s="19" t="s">
        <v>543</v>
      </c>
      <c r="J265" s="19" t="s">
        <v>926</v>
      </c>
      <c r="K265" s="20" t="s">
        <v>1216</v>
      </c>
      <c r="L265" s="23">
        <v>1784506</v>
      </c>
      <c r="M265" s="23">
        <v>1478088</v>
      </c>
      <c r="N265" s="23">
        <v>2146975</v>
      </c>
      <c r="O265" s="21">
        <v>1253880</v>
      </c>
      <c r="P265" s="21"/>
      <c r="Q265" s="19"/>
      <c r="R265" s="19"/>
      <c r="S265" s="21"/>
      <c r="T265" s="21"/>
      <c r="U265" s="21"/>
      <c r="V265" s="21"/>
      <c r="W265" s="21"/>
      <c r="X265" s="21"/>
      <c r="Y265" s="21"/>
      <c r="Z265" s="19"/>
      <c r="AA265" s="22"/>
    </row>
    <row r="266" spans="1:27" s="3" customFormat="1" ht="37.5" x14ac:dyDescent="0.3">
      <c r="A266" s="19">
        <v>265</v>
      </c>
      <c r="B266" s="39" t="s">
        <v>68</v>
      </c>
      <c r="C266" s="52"/>
      <c r="D266" s="52" t="s">
        <v>636</v>
      </c>
      <c r="E266" s="20" t="s">
        <v>1457</v>
      </c>
      <c r="F266" s="19" t="s">
        <v>544</v>
      </c>
      <c r="G266" s="19">
        <v>12345678</v>
      </c>
      <c r="H266" s="6"/>
      <c r="I266" s="19" t="s">
        <v>544</v>
      </c>
      <c r="J266" s="19" t="s">
        <v>927</v>
      </c>
      <c r="K266" s="20" t="s">
        <v>1217</v>
      </c>
      <c r="L266" s="23">
        <v>59996</v>
      </c>
      <c r="M266" s="23"/>
      <c r="N266" s="23" t="s">
        <v>1416</v>
      </c>
      <c r="O266" s="21">
        <v>8571</v>
      </c>
      <c r="P266" s="21"/>
      <c r="Q266" s="19"/>
      <c r="R266" s="19"/>
      <c r="S266" s="21"/>
      <c r="T266" s="21"/>
      <c r="U266" s="21"/>
      <c r="V266" s="21"/>
      <c r="W266" s="21"/>
      <c r="X266" s="21"/>
      <c r="Y266" s="21"/>
      <c r="Z266" s="19"/>
      <c r="AA266" s="22"/>
    </row>
    <row r="267" spans="1:27" s="15" customFormat="1" ht="37.5" x14ac:dyDescent="0.3">
      <c r="A267" s="7">
        <v>266</v>
      </c>
      <c r="B267" s="61" t="s">
        <v>68</v>
      </c>
      <c r="C267" s="57"/>
      <c r="D267" s="57" t="s">
        <v>636</v>
      </c>
      <c r="E267" s="8" t="s">
        <v>135</v>
      </c>
      <c r="F267" s="10" t="s">
        <v>545</v>
      </c>
      <c r="G267" s="10">
        <v>12345678</v>
      </c>
      <c r="H267" s="9"/>
      <c r="I267" s="10" t="s">
        <v>545</v>
      </c>
      <c r="J267" s="10" t="s">
        <v>928</v>
      </c>
      <c r="K267" s="32" t="s">
        <v>1218</v>
      </c>
      <c r="L267" s="68"/>
      <c r="M267" s="68"/>
      <c r="N267" s="68"/>
      <c r="O267" s="35"/>
      <c r="P267" s="35"/>
      <c r="Q267" s="10"/>
      <c r="R267" s="10"/>
      <c r="S267" s="35"/>
      <c r="T267" s="35"/>
      <c r="U267" s="35"/>
      <c r="V267" s="35"/>
      <c r="W267" s="35"/>
      <c r="X267" s="35"/>
      <c r="Y267" s="35"/>
      <c r="Z267" s="10"/>
      <c r="AA267" s="111"/>
    </row>
    <row r="268" spans="1:27" s="15" customFormat="1" ht="37.5" x14ac:dyDescent="0.3">
      <c r="A268" s="7">
        <v>267</v>
      </c>
      <c r="B268" s="61" t="s">
        <v>68</v>
      </c>
      <c r="C268" s="57"/>
      <c r="D268" s="57" t="s">
        <v>636</v>
      </c>
      <c r="E268" s="8" t="s">
        <v>135</v>
      </c>
      <c r="F268" s="10" t="s">
        <v>546</v>
      </c>
      <c r="G268" s="10">
        <v>12345678</v>
      </c>
      <c r="H268" s="9"/>
      <c r="I268" s="10" t="s">
        <v>546</v>
      </c>
      <c r="J268" s="10" t="s">
        <v>929</v>
      </c>
      <c r="K268" s="32" t="s">
        <v>1219</v>
      </c>
      <c r="L268" s="68"/>
      <c r="M268" s="68"/>
      <c r="N268" s="68" t="s">
        <v>1416</v>
      </c>
      <c r="O268" s="17">
        <v>27855</v>
      </c>
      <c r="P268" s="35"/>
      <c r="Q268" s="10"/>
      <c r="R268" s="10"/>
      <c r="S268" s="35"/>
      <c r="T268" s="35"/>
      <c r="U268" s="35"/>
      <c r="V268" s="35"/>
      <c r="W268" s="35"/>
      <c r="X268" s="35"/>
      <c r="Y268" s="35"/>
      <c r="Z268" s="10"/>
      <c r="AA268" s="111"/>
    </row>
    <row r="269" spans="1:27" s="15" customFormat="1" ht="37.5" x14ac:dyDescent="0.3">
      <c r="A269" s="7">
        <v>268</v>
      </c>
      <c r="B269" s="61" t="s">
        <v>68</v>
      </c>
      <c r="C269" s="57"/>
      <c r="D269" s="57" t="s">
        <v>636</v>
      </c>
      <c r="E269" s="8" t="s">
        <v>135</v>
      </c>
      <c r="F269" s="10" t="s">
        <v>547</v>
      </c>
      <c r="G269" s="10">
        <v>12345678</v>
      </c>
      <c r="H269" s="9"/>
      <c r="I269" s="10" t="s">
        <v>547</v>
      </c>
      <c r="J269" s="10" t="s">
        <v>930</v>
      </c>
      <c r="K269" s="32" t="s">
        <v>1220</v>
      </c>
      <c r="L269" s="68"/>
      <c r="M269" s="68"/>
      <c r="N269" s="68"/>
      <c r="O269" s="35"/>
      <c r="P269" s="35"/>
      <c r="Q269" s="10"/>
      <c r="R269" s="10"/>
      <c r="S269" s="35"/>
      <c r="T269" s="35"/>
      <c r="U269" s="35"/>
      <c r="V269" s="35"/>
      <c r="W269" s="35"/>
      <c r="X269" s="35"/>
      <c r="Y269" s="35"/>
      <c r="Z269" s="10"/>
      <c r="AA269" s="111"/>
    </row>
    <row r="270" spans="1:27" s="15" customFormat="1" ht="37.5" x14ac:dyDescent="0.3">
      <c r="A270" s="7">
        <v>269</v>
      </c>
      <c r="B270" s="61" t="s">
        <v>68</v>
      </c>
      <c r="C270" s="57"/>
      <c r="D270" s="57" t="s">
        <v>636</v>
      </c>
      <c r="E270" s="8" t="s">
        <v>135</v>
      </c>
      <c r="F270" s="10" t="s">
        <v>548</v>
      </c>
      <c r="G270" s="10">
        <v>12345678</v>
      </c>
      <c r="H270" s="9"/>
      <c r="I270" s="10" t="s">
        <v>548</v>
      </c>
      <c r="J270" s="10" t="s">
        <v>931</v>
      </c>
      <c r="K270" s="32" t="s">
        <v>1221</v>
      </c>
      <c r="L270" s="68"/>
      <c r="M270" s="68"/>
      <c r="N270" s="69">
        <v>57853</v>
      </c>
      <c r="O270" s="17">
        <v>446602</v>
      </c>
      <c r="P270" s="35"/>
      <c r="Q270" s="10"/>
      <c r="R270" s="10"/>
      <c r="S270" s="35"/>
      <c r="T270" s="35"/>
      <c r="U270" s="35"/>
      <c r="V270" s="35"/>
      <c r="W270" s="35"/>
      <c r="X270" s="35"/>
      <c r="Y270" s="35"/>
      <c r="Z270" s="10"/>
      <c r="AA270" s="111"/>
    </row>
    <row r="271" spans="1:27" s="3" customFormat="1" ht="37.5" x14ac:dyDescent="0.3">
      <c r="A271" s="7">
        <v>270</v>
      </c>
      <c r="B271" s="39" t="s">
        <v>68</v>
      </c>
      <c r="C271" s="52"/>
      <c r="D271" s="6"/>
      <c r="E271" s="20" t="s">
        <v>1458</v>
      </c>
      <c r="F271" s="19" t="s">
        <v>549</v>
      </c>
      <c r="G271" s="19" t="s">
        <v>8</v>
      </c>
      <c r="H271" s="19"/>
      <c r="I271" s="19" t="s">
        <v>549</v>
      </c>
      <c r="J271" s="19" t="s">
        <v>932</v>
      </c>
      <c r="K271" s="20" t="s">
        <v>1222</v>
      </c>
      <c r="L271" s="23">
        <v>1694822</v>
      </c>
      <c r="M271" s="23">
        <v>1489298</v>
      </c>
      <c r="N271" s="23">
        <v>1926504</v>
      </c>
      <c r="O271" s="21">
        <v>2161922</v>
      </c>
      <c r="P271" s="21">
        <v>1288412</v>
      </c>
      <c r="Q271" s="19"/>
      <c r="R271" s="19"/>
      <c r="S271" s="21"/>
      <c r="T271" s="21"/>
      <c r="U271" s="21"/>
      <c r="V271" s="21"/>
      <c r="W271" s="21"/>
      <c r="X271" s="21"/>
      <c r="Y271" s="21"/>
      <c r="Z271" s="19"/>
      <c r="AA271" s="22"/>
    </row>
    <row r="272" spans="1:27" s="3" customFormat="1" ht="37.5" x14ac:dyDescent="0.3">
      <c r="A272" s="7">
        <v>271</v>
      </c>
      <c r="B272" s="39" t="s">
        <v>68</v>
      </c>
      <c r="C272" s="52"/>
      <c r="D272" s="6"/>
      <c r="E272" s="20" t="s">
        <v>1458</v>
      </c>
      <c r="F272" s="19" t="s">
        <v>550</v>
      </c>
      <c r="G272" s="19" t="s">
        <v>8</v>
      </c>
      <c r="H272" s="19"/>
      <c r="I272" s="19" t="s">
        <v>550</v>
      </c>
      <c r="J272" s="19" t="s">
        <v>923</v>
      </c>
      <c r="K272" s="20" t="s">
        <v>1223</v>
      </c>
      <c r="L272" s="23">
        <v>1590192</v>
      </c>
      <c r="M272" s="23">
        <v>1784506</v>
      </c>
      <c r="N272" s="23">
        <v>1791979</v>
      </c>
      <c r="O272" s="21">
        <v>1762085</v>
      </c>
      <c r="P272" s="21">
        <v>851304</v>
      </c>
      <c r="Q272" s="19"/>
      <c r="R272" s="19"/>
      <c r="S272" s="21"/>
      <c r="T272" s="21"/>
      <c r="U272" s="21"/>
      <c r="V272" s="21"/>
      <c r="W272" s="21"/>
      <c r="X272" s="21"/>
      <c r="Y272" s="21"/>
      <c r="Z272" s="19"/>
      <c r="AA272" s="22"/>
    </row>
    <row r="273" spans="1:27" s="3" customFormat="1" ht="37.5" x14ac:dyDescent="0.3">
      <c r="A273" s="7">
        <v>272</v>
      </c>
      <c r="B273" s="39" t="s">
        <v>68</v>
      </c>
      <c r="C273" s="52"/>
      <c r="D273" s="6"/>
      <c r="E273" s="20" t="s">
        <v>1458</v>
      </c>
      <c r="F273" s="19" t="s">
        <v>551</v>
      </c>
      <c r="G273" s="19" t="s">
        <v>8</v>
      </c>
      <c r="H273" s="19"/>
      <c r="I273" s="19" t="s">
        <v>551</v>
      </c>
      <c r="J273" s="19" t="s">
        <v>910</v>
      </c>
      <c r="K273" s="20" t="s">
        <v>1224</v>
      </c>
      <c r="L273" s="23">
        <v>1235196</v>
      </c>
      <c r="M273" s="23">
        <v>823986</v>
      </c>
      <c r="N273" s="23">
        <v>759806</v>
      </c>
      <c r="O273" s="21">
        <v>222977</v>
      </c>
      <c r="P273" s="21">
        <v>486207</v>
      </c>
      <c r="Q273" s="19"/>
      <c r="R273" s="19"/>
      <c r="S273" s="21"/>
      <c r="T273" s="21"/>
      <c r="U273" s="21"/>
      <c r="V273" s="21"/>
      <c r="W273" s="21"/>
      <c r="X273" s="21"/>
      <c r="Y273" s="21"/>
      <c r="Z273" s="19"/>
      <c r="AA273" s="22"/>
    </row>
    <row r="274" spans="1:27" s="3" customFormat="1" ht="37.5" x14ac:dyDescent="0.3">
      <c r="A274" s="7">
        <v>273</v>
      </c>
      <c r="B274" s="39" t="s">
        <v>68</v>
      </c>
      <c r="C274" s="52"/>
      <c r="D274" s="6"/>
      <c r="E274" s="20" t="s">
        <v>1458</v>
      </c>
      <c r="F274" s="19" t="s">
        <v>552</v>
      </c>
      <c r="G274" s="19" t="s">
        <v>8</v>
      </c>
      <c r="H274" s="19"/>
      <c r="I274" s="19" t="s">
        <v>552</v>
      </c>
      <c r="J274" s="19" t="s">
        <v>912</v>
      </c>
      <c r="K274" s="20" t="s">
        <v>1225</v>
      </c>
      <c r="L274" s="23">
        <v>14999</v>
      </c>
      <c r="M274" s="23">
        <v>49283</v>
      </c>
      <c r="N274" s="23">
        <v>57853</v>
      </c>
      <c r="O274" s="21">
        <v>838458</v>
      </c>
      <c r="P274" s="21">
        <v>696980</v>
      </c>
      <c r="Q274" s="19"/>
      <c r="R274" s="19"/>
      <c r="S274" s="21"/>
      <c r="T274" s="21"/>
      <c r="U274" s="21"/>
      <c r="V274" s="21"/>
      <c r="W274" s="21"/>
      <c r="X274" s="21"/>
      <c r="Y274" s="21"/>
      <c r="Z274" s="19"/>
      <c r="AA274" s="22"/>
    </row>
    <row r="275" spans="1:27" s="15" customFormat="1" ht="37.5" x14ac:dyDescent="0.3">
      <c r="A275" s="7">
        <v>274</v>
      </c>
      <c r="B275" s="61" t="s">
        <v>68</v>
      </c>
      <c r="C275" s="57"/>
      <c r="D275" s="57" t="s">
        <v>636</v>
      </c>
      <c r="E275" s="8" t="s">
        <v>135</v>
      </c>
      <c r="F275" s="10" t="s">
        <v>553</v>
      </c>
      <c r="G275" s="10" t="s">
        <v>8</v>
      </c>
      <c r="H275" s="9"/>
      <c r="I275" s="10" t="s">
        <v>553</v>
      </c>
      <c r="J275" s="10" t="s">
        <v>914</v>
      </c>
      <c r="K275" s="32" t="s">
        <v>1226</v>
      </c>
      <c r="L275" s="68"/>
      <c r="M275" s="68"/>
      <c r="N275" s="69">
        <v>4285</v>
      </c>
      <c r="O275" s="17">
        <v>4285</v>
      </c>
      <c r="P275" s="35"/>
      <c r="Q275" s="10"/>
      <c r="R275" s="10"/>
      <c r="S275" s="35"/>
      <c r="T275" s="35"/>
      <c r="U275" s="35"/>
      <c r="V275" s="35"/>
      <c r="W275" s="35"/>
      <c r="X275" s="35"/>
      <c r="Y275" s="35"/>
      <c r="Z275" s="10"/>
      <c r="AA275" s="111"/>
    </row>
    <row r="276" spans="1:27" s="15" customFormat="1" ht="37.5" x14ac:dyDescent="0.3">
      <c r="A276" s="7">
        <v>275</v>
      </c>
      <c r="B276" s="61" t="s">
        <v>68</v>
      </c>
      <c r="C276" s="57"/>
      <c r="D276" s="57" t="s">
        <v>636</v>
      </c>
      <c r="E276" s="8" t="s">
        <v>135</v>
      </c>
      <c r="F276" s="10" t="s">
        <v>554</v>
      </c>
      <c r="G276" s="10" t="s">
        <v>8</v>
      </c>
      <c r="H276" s="9"/>
      <c r="I276" s="10" t="s">
        <v>554</v>
      </c>
      <c r="J276" s="10" t="s">
        <v>916</v>
      </c>
      <c r="K276" s="32" t="s">
        <v>1227</v>
      </c>
      <c r="L276" s="68"/>
      <c r="M276" s="68"/>
      <c r="N276" s="68"/>
      <c r="O276" s="17">
        <v>2143</v>
      </c>
      <c r="P276" s="35"/>
      <c r="Q276" s="10"/>
      <c r="R276" s="10"/>
      <c r="S276" s="35"/>
      <c r="T276" s="35"/>
      <c r="U276" s="35"/>
      <c r="V276" s="35"/>
      <c r="W276" s="35"/>
      <c r="X276" s="35"/>
      <c r="Y276" s="35"/>
      <c r="Z276" s="10"/>
      <c r="AA276" s="111"/>
    </row>
    <row r="277" spans="1:27" s="15" customFormat="1" ht="37.5" x14ac:dyDescent="0.3">
      <c r="A277" s="7">
        <v>276</v>
      </c>
      <c r="B277" s="61" t="s">
        <v>68</v>
      </c>
      <c r="C277" s="57"/>
      <c r="D277" s="57" t="s">
        <v>636</v>
      </c>
      <c r="E277" s="8" t="s">
        <v>135</v>
      </c>
      <c r="F277" s="10" t="s">
        <v>555</v>
      </c>
      <c r="G277" s="10" t="s">
        <v>8</v>
      </c>
      <c r="H277" s="9"/>
      <c r="I277" s="10" t="s">
        <v>555</v>
      </c>
      <c r="J277" s="10" t="s">
        <v>918</v>
      </c>
      <c r="K277" s="32" t="s">
        <v>1228</v>
      </c>
      <c r="L277" s="68"/>
      <c r="M277" s="68"/>
      <c r="N277" s="69">
        <v>14999</v>
      </c>
      <c r="O277" s="17">
        <v>87852</v>
      </c>
      <c r="P277" s="35"/>
      <c r="Q277" s="10"/>
      <c r="R277" s="10"/>
      <c r="S277" s="35"/>
      <c r="T277" s="35"/>
      <c r="U277" s="35"/>
      <c r="V277" s="35"/>
      <c r="W277" s="35"/>
      <c r="X277" s="35"/>
      <c r="Y277" s="35"/>
      <c r="Z277" s="10"/>
      <c r="AA277" s="111"/>
    </row>
    <row r="278" spans="1:27" s="15" customFormat="1" ht="37.5" x14ac:dyDescent="0.3">
      <c r="A278" s="7">
        <v>277</v>
      </c>
      <c r="B278" s="61" t="s">
        <v>68</v>
      </c>
      <c r="C278" s="57"/>
      <c r="D278" s="57" t="s">
        <v>636</v>
      </c>
      <c r="E278" s="8" t="s">
        <v>135</v>
      </c>
      <c r="F278" s="10" t="s">
        <v>556</v>
      </c>
      <c r="G278" s="10" t="s">
        <v>8</v>
      </c>
      <c r="H278" s="9"/>
      <c r="I278" s="10" t="s">
        <v>556</v>
      </c>
      <c r="J278" s="10" t="s">
        <v>688</v>
      </c>
      <c r="K278" s="32" t="s">
        <v>1229</v>
      </c>
      <c r="L278" s="68"/>
      <c r="M278" s="68"/>
      <c r="N278" s="68"/>
      <c r="O278" s="17">
        <v>38569</v>
      </c>
      <c r="P278" s="35"/>
      <c r="Q278" s="10"/>
      <c r="R278" s="10"/>
      <c r="S278" s="35"/>
      <c r="T278" s="35"/>
      <c r="U278" s="35"/>
      <c r="V278" s="35"/>
      <c r="W278" s="35"/>
      <c r="X278" s="35"/>
      <c r="Y278" s="35"/>
      <c r="Z278" s="10"/>
      <c r="AA278" s="111"/>
    </row>
    <row r="279" spans="1:27" s="15" customFormat="1" ht="37.5" x14ac:dyDescent="0.3">
      <c r="A279" s="7">
        <v>278</v>
      </c>
      <c r="B279" s="61" t="s">
        <v>68</v>
      </c>
      <c r="C279" s="57"/>
      <c r="D279" s="57" t="s">
        <v>636</v>
      </c>
      <c r="E279" s="8" t="s">
        <v>135</v>
      </c>
      <c r="F279" s="10" t="s">
        <v>557</v>
      </c>
      <c r="G279" s="10" t="s">
        <v>8</v>
      </c>
      <c r="H279" s="9"/>
      <c r="I279" s="10" t="s">
        <v>557</v>
      </c>
      <c r="J279" s="10" t="s">
        <v>920</v>
      </c>
      <c r="K279" s="32" t="s">
        <v>1230</v>
      </c>
      <c r="L279" s="68"/>
      <c r="M279" s="68"/>
      <c r="N279" s="68"/>
      <c r="O279" s="17">
        <v>27855</v>
      </c>
      <c r="P279" s="35"/>
      <c r="Q279" s="10"/>
      <c r="R279" s="10"/>
      <c r="S279" s="35"/>
      <c r="T279" s="35"/>
      <c r="U279" s="35"/>
      <c r="V279" s="35"/>
      <c r="W279" s="35"/>
      <c r="X279" s="35"/>
      <c r="Y279" s="35"/>
      <c r="Z279" s="10"/>
      <c r="AA279" s="111"/>
    </row>
    <row r="280" spans="1:27" s="15" customFormat="1" ht="37.5" x14ac:dyDescent="0.3">
      <c r="A280" s="7">
        <v>279</v>
      </c>
      <c r="B280" s="61" t="s">
        <v>68</v>
      </c>
      <c r="C280" s="57"/>
      <c r="D280" s="57" t="s">
        <v>636</v>
      </c>
      <c r="E280" s="8" t="s">
        <v>135</v>
      </c>
      <c r="F280" s="10" t="s">
        <v>558</v>
      </c>
      <c r="G280" s="10" t="s">
        <v>8</v>
      </c>
      <c r="H280" s="9"/>
      <c r="I280" s="10" t="s">
        <v>558</v>
      </c>
      <c r="J280" s="10" t="s">
        <v>922</v>
      </c>
      <c r="K280" s="32" t="s">
        <v>1231</v>
      </c>
      <c r="L280" s="68"/>
      <c r="M280" s="68"/>
      <c r="N280" s="68"/>
      <c r="O280" s="35"/>
      <c r="P280" s="35"/>
      <c r="Q280" s="10"/>
      <c r="R280" s="10"/>
      <c r="S280" s="35"/>
      <c r="T280" s="35"/>
      <c r="U280" s="35"/>
      <c r="V280" s="35"/>
      <c r="W280" s="35"/>
      <c r="X280" s="35"/>
      <c r="Y280" s="35"/>
      <c r="Z280" s="10"/>
      <c r="AA280" s="111"/>
    </row>
    <row r="281" spans="1:27" s="15" customFormat="1" ht="37.5" x14ac:dyDescent="0.3">
      <c r="A281" s="7">
        <v>280</v>
      </c>
      <c r="B281" s="61" t="s">
        <v>68</v>
      </c>
      <c r="C281" s="57"/>
      <c r="D281" s="57" t="s">
        <v>636</v>
      </c>
      <c r="E281" s="8" t="s">
        <v>135</v>
      </c>
      <c r="F281" s="10" t="s">
        <v>559</v>
      </c>
      <c r="G281" s="10" t="s">
        <v>8</v>
      </c>
      <c r="H281" s="9"/>
      <c r="I281" s="10" t="s">
        <v>559</v>
      </c>
      <c r="J281" s="10" t="s">
        <v>678</v>
      </c>
      <c r="K281" s="32" t="s">
        <v>1232</v>
      </c>
      <c r="L281" s="68"/>
      <c r="M281" s="68"/>
      <c r="N281" s="68"/>
      <c r="O281" s="35"/>
      <c r="P281" s="35"/>
      <c r="Q281" s="10"/>
      <c r="R281" s="10"/>
      <c r="S281" s="35"/>
      <c r="T281" s="35"/>
      <c r="U281" s="35"/>
      <c r="V281" s="35"/>
      <c r="W281" s="35"/>
      <c r="X281" s="35"/>
      <c r="Y281" s="35"/>
      <c r="Z281" s="10"/>
      <c r="AA281" s="111"/>
    </row>
    <row r="282" spans="1:27" s="15" customFormat="1" ht="37.5" x14ac:dyDescent="0.3">
      <c r="A282" s="7">
        <v>281</v>
      </c>
      <c r="B282" s="61" t="s">
        <v>68</v>
      </c>
      <c r="C282" s="57"/>
      <c r="D282" s="57" t="s">
        <v>636</v>
      </c>
      <c r="E282" s="8" t="s">
        <v>135</v>
      </c>
      <c r="F282" s="10" t="s">
        <v>560</v>
      </c>
      <c r="G282" s="10" t="s">
        <v>8</v>
      </c>
      <c r="H282" s="9"/>
      <c r="I282" s="10" t="s">
        <v>560</v>
      </c>
      <c r="J282" s="10" t="s">
        <v>909</v>
      </c>
      <c r="K282" s="32" t="s">
        <v>1233</v>
      </c>
      <c r="L282" s="68"/>
      <c r="M282" s="68"/>
      <c r="N282" s="68"/>
      <c r="O282" s="35"/>
      <c r="P282" s="35"/>
      <c r="Q282" s="10"/>
      <c r="R282" s="10"/>
      <c r="S282" s="35"/>
      <c r="T282" s="35"/>
      <c r="U282" s="35"/>
      <c r="V282" s="35"/>
      <c r="W282" s="35"/>
      <c r="X282" s="35"/>
      <c r="Y282" s="35"/>
      <c r="Z282" s="10"/>
      <c r="AA282" s="111"/>
    </row>
    <row r="283" spans="1:27" s="15" customFormat="1" ht="37.5" x14ac:dyDescent="0.3">
      <c r="A283" s="7">
        <v>282</v>
      </c>
      <c r="B283" s="61" t="s">
        <v>68</v>
      </c>
      <c r="C283" s="57"/>
      <c r="D283" s="57" t="s">
        <v>636</v>
      </c>
      <c r="E283" s="8" t="s">
        <v>135</v>
      </c>
      <c r="F283" s="10" t="s">
        <v>561</v>
      </c>
      <c r="G283" s="10" t="s">
        <v>8</v>
      </c>
      <c r="H283" s="9"/>
      <c r="I283" s="10" t="s">
        <v>561</v>
      </c>
      <c r="J283" s="10" t="s">
        <v>911</v>
      </c>
      <c r="K283" s="32" t="s">
        <v>1234</v>
      </c>
      <c r="L283" s="68"/>
      <c r="M283" s="68"/>
      <c r="N283" s="68"/>
      <c r="O283" s="35"/>
      <c r="P283" s="35"/>
      <c r="Q283" s="10"/>
      <c r="R283" s="10"/>
      <c r="S283" s="35"/>
      <c r="T283" s="35"/>
      <c r="U283" s="35"/>
      <c r="V283" s="35"/>
      <c r="W283" s="35"/>
      <c r="X283" s="35"/>
      <c r="Y283" s="35"/>
      <c r="Z283" s="10"/>
      <c r="AA283" s="111"/>
    </row>
    <row r="284" spans="1:27" s="15" customFormat="1" ht="37.5" x14ac:dyDescent="0.3">
      <c r="A284" s="7">
        <v>283</v>
      </c>
      <c r="B284" s="61" t="s">
        <v>68</v>
      </c>
      <c r="C284" s="57"/>
      <c r="D284" s="57" t="s">
        <v>636</v>
      </c>
      <c r="E284" s="8" t="s">
        <v>135</v>
      </c>
      <c r="F284" s="10" t="s">
        <v>562</v>
      </c>
      <c r="G284" s="10" t="s">
        <v>8</v>
      </c>
      <c r="H284" s="9"/>
      <c r="I284" s="10" t="s">
        <v>562</v>
      </c>
      <c r="J284" s="10" t="s">
        <v>913</v>
      </c>
      <c r="K284" s="32" t="s">
        <v>1235</v>
      </c>
      <c r="L284" s="68"/>
      <c r="M284" s="68"/>
      <c r="N284" s="68"/>
      <c r="O284" s="35"/>
      <c r="P284" s="35"/>
      <c r="Q284" s="10"/>
      <c r="R284" s="10"/>
      <c r="S284" s="35"/>
      <c r="T284" s="35"/>
      <c r="U284" s="35"/>
      <c r="V284" s="35"/>
      <c r="W284" s="35"/>
      <c r="X284" s="35"/>
      <c r="Y284" s="35"/>
      <c r="Z284" s="10"/>
      <c r="AA284" s="111"/>
    </row>
    <row r="285" spans="1:27" s="15" customFormat="1" ht="37.5" x14ac:dyDescent="0.3">
      <c r="A285" s="7">
        <v>284</v>
      </c>
      <c r="B285" s="61" t="s">
        <v>68</v>
      </c>
      <c r="C285" s="57"/>
      <c r="D285" s="57" t="s">
        <v>636</v>
      </c>
      <c r="E285" s="8" t="s">
        <v>135</v>
      </c>
      <c r="F285" s="10" t="s">
        <v>563</v>
      </c>
      <c r="G285" s="10" t="s">
        <v>8</v>
      </c>
      <c r="H285" s="9"/>
      <c r="I285" s="10" t="s">
        <v>563</v>
      </c>
      <c r="J285" s="10" t="s">
        <v>915</v>
      </c>
      <c r="K285" s="32" t="s">
        <v>1236</v>
      </c>
      <c r="L285" s="68"/>
      <c r="M285" s="68"/>
      <c r="N285" s="68"/>
      <c r="O285" s="35"/>
      <c r="P285" s="35"/>
      <c r="Q285" s="10"/>
      <c r="R285" s="10"/>
      <c r="S285" s="35"/>
      <c r="T285" s="35"/>
      <c r="U285" s="35"/>
      <c r="V285" s="35"/>
      <c r="W285" s="35"/>
      <c r="X285" s="35"/>
      <c r="Y285" s="35"/>
      <c r="Z285" s="10"/>
      <c r="AA285" s="111"/>
    </row>
    <row r="286" spans="1:27" s="15" customFormat="1" ht="37.5" x14ac:dyDescent="0.3">
      <c r="A286" s="7">
        <v>285</v>
      </c>
      <c r="B286" s="61" t="s">
        <v>68</v>
      </c>
      <c r="C286" s="57"/>
      <c r="D286" s="57" t="s">
        <v>636</v>
      </c>
      <c r="E286" s="8" t="s">
        <v>135</v>
      </c>
      <c r="F286" s="10" t="s">
        <v>564</v>
      </c>
      <c r="G286" s="10" t="s">
        <v>8</v>
      </c>
      <c r="H286" s="9"/>
      <c r="I286" s="10" t="s">
        <v>564</v>
      </c>
      <c r="J286" s="10" t="s">
        <v>919</v>
      </c>
      <c r="K286" s="32" t="s">
        <v>1237</v>
      </c>
      <c r="L286" s="68"/>
      <c r="M286" s="68"/>
      <c r="N286" s="68"/>
      <c r="O286" s="17">
        <v>2143</v>
      </c>
      <c r="P286" s="35"/>
      <c r="Q286" s="10"/>
      <c r="R286" s="10"/>
      <c r="S286" s="35"/>
      <c r="T286" s="35"/>
      <c r="U286" s="35"/>
      <c r="V286" s="35"/>
      <c r="W286" s="35"/>
      <c r="X286" s="35"/>
      <c r="Y286" s="35"/>
      <c r="Z286" s="10"/>
      <c r="AA286" s="111"/>
    </row>
    <row r="287" spans="1:27" s="15" customFormat="1" ht="37.5" x14ac:dyDescent="0.3">
      <c r="A287" s="7">
        <v>286</v>
      </c>
      <c r="B287" s="61" t="s">
        <v>68</v>
      </c>
      <c r="C287" s="57"/>
      <c r="D287" s="57" t="s">
        <v>636</v>
      </c>
      <c r="E287" s="8" t="s">
        <v>135</v>
      </c>
      <c r="F287" s="10" t="s">
        <v>565</v>
      </c>
      <c r="G287" s="10" t="s">
        <v>8</v>
      </c>
      <c r="H287" s="9"/>
      <c r="I287" s="10" t="s">
        <v>565</v>
      </c>
      <c r="J287" s="10" t="s">
        <v>917</v>
      </c>
      <c r="K287" s="32" t="s">
        <v>1238</v>
      </c>
      <c r="L287" s="68"/>
      <c r="M287" s="68"/>
      <c r="N287" s="68"/>
      <c r="O287" s="35"/>
      <c r="P287" s="35"/>
      <c r="Q287" s="10"/>
      <c r="R287" s="10"/>
      <c r="S287" s="35"/>
      <c r="T287" s="35"/>
      <c r="U287" s="35"/>
      <c r="V287" s="35"/>
      <c r="W287" s="35"/>
      <c r="X287" s="35"/>
      <c r="Y287" s="35"/>
      <c r="Z287" s="10"/>
      <c r="AA287" s="111"/>
    </row>
    <row r="288" spans="1:27" s="15" customFormat="1" ht="37.5" x14ac:dyDescent="0.3">
      <c r="A288" s="7">
        <v>287</v>
      </c>
      <c r="B288" s="61" t="s">
        <v>68</v>
      </c>
      <c r="C288" s="57"/>
      <c r="D288" s="57" t="s">
        <v>636</v>
      </c>
      <c r="E288" s="8" t="s">
        <v>135</v>
      </c>
      <c r="F288" s="10" t="s">
        <v>566</v>
      </c>
      <c r="G288" s="10" t="s">
        <v>8</v>
      </c>
      <c r="H288" s="9"/>
      <c r="I288" s="10" t="s">
        <v>566</v>
      </c>
      <c r="J288" s="10" t="s">
        <v>921</v>
      </c>
      <c r="K288" s="32" t="s">
        <v>1239</v>
      </c>
      <c r="L288" s="68"/>
      <c r="M288" s="68"/>
      <c r="N288" s="68"/>
      <c r="O288" s="35"/>
      <c r="P288" s="35"/>
      <c r="Q288" s="10"/>
      <c r="R288" s="10"/>
      <c r="S288" s="35"/>
      <c r="T288" s="35"/>
      <c r="U288" s="35"/>
      <c r="V288" s="35"/>
      <c r="W288" s="35"/>
      <c r="X288" s="35"/>
      <c r="Y288" s="35"/>
      <c r="Z288" s="10"/>
      <c r="AA288" s="111"/>
    </row>
    <row r="289" spans="1:27" s="15" customFormat="1" ht="37.5" x14ac:dyDescent="0.3">
      <c r="A289" s="7">
        <v>288</v>
      </c>
      <c r="B289" s="61" t="s">
        <v>68</v>
      </c>
      <c r="C289" s="57"/>
      <c r="D289" s="57" t="s">
        <v>636</v>
      </c>
      <c r="E289" s="8" t="s">
        <v>135</v>
      </c>
      <c r="F289" s="10" t="s">
        <v>567</v>
      </c>
      <c r="G289" s="10" t="s">
        <v>8</v>
      </c>
      <c r="H289" s="9"/>
      <c r="I289" s="10" t="s">
        <v>567</v>
      </c>
      <c r="J289" s="10" t="s">
        <v>934</v>
      </c>
      <c r="K289" s="32" t="s">
        <v>1240</v>
      </c>
      <c r="L289" s="68"/>
      <c r="M289" s="68"/>
      <c r="N289" s="68"/>
      <c r="O289" s="35"/>
      <c r="P289" s="35"/>
      <c r="Q289" s="10"/>
      <c r="R289" s="10"/>
      <c r="S289" s="35"/>
      <c r="T289" s="35"/>
      <c r="U289" s="35"/>
      <c r="V289" s="35"/>
      <c r="W289" s="35"/>
      <c r="X289" s="35"/>
      <c r="Y289" s="35"/>
      <c r="Z289" s="10"/>
      <c r="AA289" s="111"/>
    </row>
    <row r="290" spans="1:27" s="15" customFormat="1" ht="37.5" x14ac:dyDescent="0.3">
      <c r="A290" s="7">
        <v>289</v>
      </c>
      <c r="B290" s="61" t="s">
        <v>68</v>
      </c>
      <c r="C290" s="57"/>
      <c r="D290" s="57" t="s">
        <v>636</v>
      </c>
      <c r="E290" s="24" t="s">
        <v>135</v>
      </c>
      <c r="F290" s="10" t="s">
        <v>568</v>
      </c>
      <c r="G290" s="10" t="s">
        <v>8</v>
      </c>
      <c r="H290" s="9"/>
      <c r="I290" s="10" t="s">
        <v>568</v>
      </c>
      <c r="J290" s="10" t="s">
        <v>943</v>
      </c>
      <c r="K290" s="32" t="s">
        <v>1167</v>
      </c>
      <c r="L290" s="68"/>
      <c r="M290" s="68"/>
      <c r="N290" s="68"/>
      <c r="O290" s="35"/>
      <c r="P290" s="35"/>
      <c r="Q290" s="10"/>
      <c r="R290" s="10"/>
      <c r="S290" s="35"/>
      <c r="T290" s="35"/>
      <c r="U290" s="35"/>
      <c r="V290" s="35"/>
      <c r="W290" s="35"/>
      <c r="X290" s="35"/>
      <c r="Y290" s="35"/>
      <c r="Z290" s="10"/>
      <c r="AA290" s="111"/>
    </row>
    <row r="291" spans="1:27" s="15" customFormat="1" ht="37.5" x14ac:dyDescent="0.3">
      <c r="A291" s="7">
        <v>290</v>
      </c>
      <c r="B291" s="61" t="s">
        <v>68</v>
      </c>
      <c r="C291" s="57"/>
      <c r="D291" s="57" t="s">
        <v>636</v>
      </c>
      <c r="E291" s="24" t="s">
        <v>135</v>
      </c>
      <c r="F291" s="10" t="s">
        <v>569</v>
      </c>
      <c r="G291" s="10" t="s">
        <v>8</v>
      </c>
      <c r="H291" s="9"/>
      <c r="I291" s="10" t="s">
        <v>569</v>
      </c>
      <c r="J291" s="10" t="s">
        <v>944</v>
      </c>
      <c r="K291" s="32" t="s">
        <v>1168</v>
      </c>
      <c r="L291" s="68"/>
      <c r="M291" s="68"/>
      <c r="N291" s="68"/>
      <c r="O291" s="35"/>
      <c r="P291" s="35"/>
      <c r="Q291" s="10"/>
      <c r="R291" s="10"/>
      <c r="S291" s="35"/>
      <c r="T291" s="35"/>
      <c r="U291" s="35"/>
      <c r="V291" s="35"/>
      <c r="W291" s="35"/>
      <c r="X291" s="35"/>
      <c r="Y291" s="35"/>
      <c r="Z291" s="10"/>
      <c r="AA291" s="111"/>
    </row>
    <row r="292" spans="1:27" s="15" customFormat="1" ht="37.5" x14ac:dyDescent="0.3">
      <c r="A292" s="7">
        <v>291</v>
      </c>
      <c r="B292" s="61" t="s">
        <v>68</v>
      </c>
      <c r="C292" s="57"/>
      <c r="D292" s="57" t="s">
        <v>636</v>
      </c>
      <c r="E292" s="24" t="s">
        <v>135</v>
      </c>
      <c r="F292" s="10" t="s">
        <v>570</v>
      </c>
      <c r="G292" s="10" t="s">
        <v>8</v>
      </c>
      <c r="H292" s="9"/>
      <c r="I292" s="10" t="s">
        <v>570</v>
      </c>
      <c r="J292" s="10" t="s">
        <v>945</v>
      </c>
      <c r="K292" s="32" t="s">
        <v>1169</v>
      </c>
      <c r="L292" s="68"/>
      <c r="M292" s="68"/>
      <c r="N292" s="68"/>
      <c r="O292" s="35"/>
      <c r="P292" s="35"/>
      <c r="Q292" s="10"/>
      <c r="R292" s="10"/>
      <c r="S292" s="35"/>
      <c r="T292" s="35"/>
      <c r="U292" s="35"/>
      <c r="V292" s="35"/>
      <c r="W292" s="35"/>
      <c r="X292" s="35"/>
      <c r="Y292" s="35"/>
      <c r="Z292" s="10"/>
      <c r="AA292" s="111"/>
    </row>
    <row r="293" spans="1:27" s="13" customFormat="1" ht="37.5" x14ac:dyDescent="0.3">
      <c r="A293" s="7">
        <v>292</v>
      </c>
      <c r="B293" s="47" t="s">
        <v>68</v>
      </c>
      <c r="C293" s="53"/>
      <c r="D293" s="53" t="s">
        <v>636</v>
      </c>
      <c r="E293" s="25" t="s">
        <v>415</v>
      </c>
      <c r="F293" s="25" t="s">
        <v>571</v>
      </c>
      <c r="G293" s="25" t="s">
        <v>8</v>
      </c>
      <c r="H293" s="112"/>
      <c r="I293" s="25" t="s">
        <v>571</v>
      </c>
      <c r="J293" s="25" t="s">
        <v>946</v>
      </c>
      <c r="K293" s="26" t="s">
        <v>1170</v>
      </c>
      <c r="L293" s="69">
        <v>228118</v>
      </c>
      <c r="M293" s="69">
        <v>529919</v>
      </c>
      <c r="N293" s="69">
        <v>685336</v>
      </c>
      <c r="O293" s="17">
        <v>361778</v>
      </c>
      <c r="P293" s="27"/>
      <c r="Q293" s="25"/>
      <c r="R293" s="25"/>
      <c r="S293" s="27"/>
      <c r="T293" s="27"/>
      <c r="U293" s="27"/>
      <c r="V293" s="27"/>
      <c r="W293" s="27"/>
      <c r="X293" s="27"/>
      <c r="Y293" s="27"/>
      <c r="Z293" s="25"/>
      <c r="AA293" s="28"/>
    </row>
    <row r="294" spans="1:27" s="15" customFormat="1" ht="37.5" x14ac:dyDescent="0.3">
      <c r="A294" s="7">
        <v>293</v>
      </c>
      <c r="B294" s="61" t="s">
        <v>68</v>
      </c>
      <c r="C294" s="57"/>
      <c r="D294" s="57" t="s">
        <v>636</v>
      </c>
      <c r="E294" s="24" t="s">
        <v>135</v>
      </c>
      <c r="F294" s="10" t="s">
        <v>572</v>
      </c>
      <c r="G294" s="10" t="s">
        <v>8</v>
      </c>
      <c r="H294" s="9"/>
      <c r="I294" s="10" t="s">
        <v>572</v>
      </c>
      <c r="J294" s="10" t="s">
        <v>947</v>
      </c>
      <c r="K294" s="32" t="s">
        <v>1171</v>
      </c>
      <c r="L294" s="68"/>
      <c r="M294" s="68"/>
      <c r="N294" s="68"/>
      <c r="O294" s="35"/>
      <c r="P294" s="35"/>
      <c r="Q294" s="10"/>
      <c r="R294" s="10"/>
      <c r="S294" s="35"/>
      <c r="T294" s="35"/>
      <c r="U294" s="35"/>
      <c r="V294" s="35"/>
      <c r="W294" s="35"/>
      <c r="X294" s="35"/>
      <c r="Y294" s="35"/>
      <c r="Z294" s="10"/>
      <c r="AA294" s="111"/>
    </row>
    <row r="295" spans="1:27" s="15" customFormat="1" ht="37.5" x14ac:dyDescent="0.3">
      <c r="A295" s="7">
        <v>294</v>
      </c>
      <c r="B295" s="61" t="s">
        <v>68</v>
      </c>
      <c r="C295" s="57"/>
      <c r="D295" s="57" t="s">
        <v>636</v>
      </c>
      <c r="E295" s="24" t="s">
        <v>135</v>
      </c>
      <c r="F295" s="10" t="s">
        <v>573</v>
      </c>
      <c r="G295" s="10" t="s">
        <v>8</v>
      </c>
      <c r="H295" s="9"/>
      <c r="I295" s="10" t="s">
        <v>573</v>
      </c>
      <c r="J295" s="10" t="s">
        <v>948</v>
      </c>
      <c r="K295" s="32" t="s">
        <v>1172</v>
      </c>
      <c r="L295" s="68"/>
      <c r="M295" s="68"/>
      <c r="N295" s="68"/>
      <c r="O295" s="35"/>
      <c r="P295" s="35"/>
      <c r="Q295" s="10"/>
      <c r="R295" s="10"/>
      <c r="S295" s="35"/>
      <c r="T295" s="35"/>
      <c r="U295" s="35"/>
      <c r="V295" s="35"/>
      <c r="W295" s="35"/>
      <c r="X295" s="35"/>
      <c r="Y295" s="35"/>
      <c r="Z295" s="10"/>
      <c r="AA295" s="111"/>
    </row>
    <row r="296" spans="1:27" s="15" customFormat="1" ht="37.5" x14ac:dyDescent="0.3">
      <c r="A296" s="7">
        <v>295</v>
      </c>
      <c r="B296" s="61" t="s">
        <v>68</v>
      </c>
      <c r="C296" s="57"/>
      <c r="D296" s="57" t="s">
        <v>636</v>
      </c>
      <c r="E296" s="24" t="s">
        <v>135</v>
      </c>
      <c r="F296" s="10" t="s">
        <v>574</v>
      </c>
      <c r="G296" s="10" t="s">
        <v>8</v>
      </c>
      <c r="H296" s="9"/>
      <c r="I296" s="10" t="s">
        <v>574</v>
      </c>
      <c r="J296" s="10" t="s">
        <v>949</v>
      </c>
      <c r="K296" s="32" t="s">
        <v>1173</v>
      </c>
      <c r="L296" s="68"/>
      <c r="M296" s="68"/>
      <c r="N296" s="68"/>
      <c r="O296" s="35"/>
      <c r="P296" s="35"/>
      <c r="Q296" s="10"/>
      <c r="R296" s="10"/>
      <c r="S296" s="35"/>
      <c r="T296" s="35"/>
      <c r="U296" s="35"/>
      <c r="V296" s="35"/>
      <c r="W296" s="35"/>
      <c r="X296" s="35"/>
      <c r="Y296" s="35"/>
      <c r="Z296" s="10"/>
      <c r="AA296" s="111"/>
    </row>
    <row r="297" spans="1:27" s="15" customFormat="1" ht="37.5" x14ac:dyDescent="0.3">
      <c r="A297" s="7">
        <v>296</v>
      </c>
      <c r="B297" s="61" t="s">
        <v>68</v>
      </c>
      <c r="C297" s="57"/>
      <c r="D297" s="57" t="s">
        <v>636</v>
      </c>
      <c r="E297" s="24" t="s">
        <v>135</v>
      </c>
      <c r="F297" s="10" t="s">
        <v>575</v>
      </c>
      <c r="G297" s="10" t="s">
        <v>8</v>
      </c>
      <c r="H297" s="9"/>
      <c r="I297" s="10" t="s">
        <v>575</v>
      </c>
      <c r="J297" s="10" t="s">
        <v>950</v>
      </c>
      <c r="K297" s="32" t="s">
        <v>1174</v>
      </c>
      <c r="L297" s="68"/>
      <c r="M297" s="68"/>
      <c r="N297" s="68"/>
      <c r="O297" s="35"/>
      <c r="P297" s="35"/>
      <c r="Q297" s="10"/>
      <c r="R297" s="10"/>
      <c r="S297" s="35"/>
      <c r="T297" s="35"/>
      <c r="U297" s="35"/>
      <c r="V297" s="35"/>
      <c r="W297" s="35"/>
      <c r="X297" s="35"/>
      <c r="Y297" s="35"/>
      <c r="Z297" s="10"/>
      <c r="AA297" s="111"/>
    </row>
    <row r="298" spans="1:27" s="15" customFormat="1" ht="37.5" x14ac:dyDescent="0.3">
      <c r="A298" s="7">
        <v>297</v>
      </c>
      <c r="B298" s="61" t="s">
        <v>68</v>
      </c>
      <c r="C298" s="57"/>
      <c r="D298" s="57" t="s">
        <v>636</v>
      </c>
      <c r="E298" s="24" t="s">
        <v>135</v>
      </c>
      <c r="F298" s="10" t="s">
        <v>576</v>
      </c>
      <c r="G298" s="10" t="s">
        <v>8</v>
      </c>
      <c r="H298" s="9"/>
      <c r="I298" s="10" t="s">
        <v>576</v>
      </c>
      <c r="J298" s="10" t="s">
        <v>951</v>
      </c>
      <c r="K298" s="32" t="s">
        <v>1175</v>
      </c>
      <c r="L298" s="68"/>
      <c r="M298" s="68"/>
      <c r="N298" s="68"/>
      <c r="O298" s="35"/>
      <c r="P298" s="35"/>
      <c r="Q298" s="10"/>
      <c r="R298" s="10"/>
      <c r="S298" s="35"/>
      <c r="T298" s="35"/>
      <c r="U298" s="35"/>
      <c r="V298" s="35"/>
      <c r="W298" s="35"/>
      <c r="X298" s="35"/>
      <c r="Y298" s="35"/>
      <c r="Z298" s="10"/>
      <c r="AA298" s="111"/>
    </row>
    <row r="299" spans="1:27" s="15" customFormat="1" ht="37.5" x14ac:dyDescent="0.3">
      <c r="A299" s="7">
        <v>298</v>
      </c>
      <c r="B299" s="61" t="s">
        <v>68</v>
      </c>
      <c r="C299" s="57"/>
      <c r="D299" s="57" t="s">
        <v>636</v>
      </c>
      <c r="E299" s="24" t="s">
        <v>135</v>
      </c>
      <c r="F299" s="10" t="s">
        <v>577</v>
      </c>
      <c r="G299" s="10" t="s">
        <v>8</v>
      </c>
      <c r="H299" s="9"/>
      <c r="I299" s="10" t="s">
        <v>577</v>
      </c>
      <c r="J299" s="10" t="s">
        <v>811</v>
      </c>
      <c r="K299" s="32" t="s">
        <v>1176</v>
      </c>
      <c r="L299" s="68"/>
      <c r="M299" s="68"/>
      <c r="N299" s="68"/>
      <c r="O299" s="35"/>
      <c r="P299" s="35"/>
      <c r="Q299" s="10"/>
      <c r="R299" s="10"/>
      <c r="S299" s="35"/>
      <c r="T299" s="35"/>
      <c r="U299" s="35"/>
      <c r="V299" s="35"/>
      <c r="W299" s="35"/>
      <c r="X299" s="35"/>
      <c r="Y299" s="35"/>
      <c r="Z299" s="10"/>
      <c r="AA299" s="111"/>
    </row>
    <row r="300" spans="1:27" s="15" customFormat="1" ht="37.5" x14ac:dyDescent="0.3">
      <c r="A300" s="7">
        <v>299</v>
      </c>
      <c r="B300" s="61" t="s">
        <v>68</v>
      </c>
      <c r="C300" s="57"/>
      <c r="D300" s="57" t="s">
        <v>636</v>
      </c>
      <c r="E300" s="24" t="s">
        <v>135</v>
      </c>
      <c r="F300" s="10" t="s">
        <v>578</v>
      </c>
      <c r="G300" s="10" t="s">
        <v>8</v>
      </c>
      <c r="H300" s="9"/>
      <c r="I300" s="10" t="s">
        <v>578</v>
      </c>
      <c r="J300" s="10" t="s">
        <v>801</v>
      </c>
      <c r="K300" s="32" t="s">
        <v>1177</v>
      </c>
      <c r="L300" s="68"/>
      <c r="M300" s="68"/>
      <c r="N300" s="68"/>
      <c r="O300" s="35"/>
      <c r="P300" s="35"/>
      <c r="Q300" s="10"/>
      <c r="R300" s="10"/>
      <c r="S300" s="35"/>
      <c r="T300" s="35"/>
      <c r="U300" s="35"/>
      <c r="V300" s="35"/>
      <c r="W300" s="35"/>
      <c r="X300" s="35"/>
      <c r="Y300" s="35"/>
      <c r="Z300" s="10"/>
      <c r="AA300" s="111"/>
    </row>
    <row r="301" spans="1:27" s="15" customFormat="1" ht="37.5" x14ac:dyDescent="0.3">
      <c r="A301" s="7">
        <v>300</v>
      </c>
      <c r="B301" s="61" t="s">
        <v>68</v>
      </c>
      <c r="C301" s="57"/>
      <c r="D301" s="57" t="s">
        <v>636</v>
      </c>
      <c r="E301" s="24" t="s">
        <v>135</v>
      </c>
      <c r="F301" s="10" t="s">
        <v>579</v>
      </c>
      <c r="G301" s="10" t="s">
        <v>8</v>
      </c>
      <c r="H301" s="9"/>
      <c r="I301" s="10" t="s">
        <v>579</v>
      </c>
      <c r="J301" s="10" t="s">
        <v>803</v>
      </c>
      <c r="K301" s="32" t="s">
        <v>1178</v>
      </c>
      <c r="L301" s="68"/>
      <c r="M301" s="68"/>
      <c r="N301" s="68"/>
      <c r="O301" s="35"/>
      <c r="P301" s="35"/>
      <c r="Q301" s="10"/>
      <c r="R301" s="10"/>
      <c r="S301" s="35"/>
      <c r="T301" s="35"/>
      <c r="U301" s="35"/>
      <c r="V301" s="35"/>
      <c r="W301" s="35"/>
      <c r="X301" s="35"/>
      <c r="Y301" s="35"/>
      <c r="Z301" s="10"/>
      <c r="AA301" s="111"/>
    </row>
    <row r="302" spans="1:27" s="15" customFormat="1" ht="37.5" x14ac:dyDescent="0.3">
      <c r="A302" s="7">
        <v>301</v>
      </c>
      <c r="B302" s="61" t="s">
        <v>68</v>
      </c>
      <c r="C302" s="57"/>
      <c r="D302" s="57" t="s">
        <v>636</v>
      </c>
      <c r="E302" s="24" t="s">
        <v>135</v>
      </c>
      <c r="F302" s="10" t="s">
        <v>580</v>
      </c>
      <c r="G302" s="10" t="s">
        <v>8</v>
      </c>
      <c r="H302" s="9"/>
      <c r="I302" s="10" t="s">
        <v>580</v>
      </c>
      <c r="J302" s="10" t="s">
        <v>805</v>
      </c>
      <c r="K302" s="32" t="s">
        <v>1179</v>
      </c>
      <c r="L302" s="68"/>
      <c r="M302" s="68"/>
      <c r="N302" s="68"/>
      <c r="O302" s="35"/>
      <c r="P302" s="35"/>
      <c r="Q302" s="10"/>
      <c r="R302" s="10"/>
      <c r="S302" s="35"/>
      <c r="T302" s="35"/>
      <c r="U302" s="35"/>
      <c r="V302" s="35"/>
      <c r="W302" s="35"/>
      <c r="X302" s="35"/>
      <c r="Y302" s="35"/>
      <c r="Z302" s="10"/>
      <c r="AA302" s="111"/>
    </row>
    <row r="303" spans="1:27" s="15" customFormat="1" ht="37.5" x14ac:dyDescent="0.3">
      <c r="A303" s="7">
        <v>302</v>
      </c>
      <c r="B303" s="61" t="s">
        <v>68</v>
      </c>
      <c r="C303" s="57"/>
      <c r="D303" s="57" t="s">
        <v>636</v>
      </c>
      <c r="E303" s="24" t="s">
        <v>135</v>
      </c>
      <c r="F303" s="10" t="s">
        <v>581</v>
      </c>
      <c r="G303" s="10" t="s">
        <v>8</v>
      </c>
      <c r="H303" s="9"/>
      <c r="I303" s="10" t="s">
        <v>581</v>
      </c>
      <c r="J303" s="10" t="s">
        <v>806</v>
      </c>
      <c r="K303" s="32" t="s">
        <v>1180</v>
      </c>
      <c r="L303" s="68"/>
      <c r="M303" s="68"/>
      <c r="N303" s="68"/>
      <c r="O303" s="35"/>
      <c r="P303" s="35"/>
      <c r="Q303" s="10"/>
      <c r="R303" s="10"/>
      <c r="S303" s="35"/>
      <c r="T303" s="35"/>
      <c r="U303" s="35"/>
      <c r="V303" s="35"/>
      <c r="W303" s="35"/>
      <c r="X303" s="35"/>
      <c r="Y303" s="35"/>
      <c r="Z303" s="10"/>
      <c r="AA303" s="111"/>
    </row>
    <row r="304" spans="1:27" s="15" customFormat="1" ht="37.5" x14ac:dyDescent="0.3">
      <c r="A304" s="7">
        <v>303</v>
      </c>
      <c r="B304" s="61" t="s">
        <v>68</v>
      </c>
      <c r="C304" s="57"/>
      <c r="D304" s="57" t="s">
        <v>636</v>
      </c>
      <c r="E304" s="24" t="s">
        <v>135</v>
      </c>
      <c r="F304" s="10" t="s">
        <v>582</v>
      </c>
      <c r="G304" s="10" t="s">
        <v>8</v>
      </c>
      <c r="H304" s="9"/>
      <c r="I304" s="10" t="s">
        <v>582</v>
      </c>
      <c r="J304" s="10" t="s">
        <v>807</v>
      </c>
      <c r="K304" s="32" t="s">
        <v>1181</v>
      </c>
      <c r="L304" s="68"/>
      <c r="M304" s="68"/>
      <c r="N304" s="68"/>
      <c r="O304" s="35"/>
      <c r="P304" s="35"/>
      <c r="Q304" s="10"/>
      <c r="R304" s="10"/>
      <c r="S304" s="35"/>
      <c r="T304" s="35"/>
      <c r="U304" s="35"/>
      <c r="V304" s="35"/>
      <c r="W304" s="35"/>
      <c r="X304" s="35"/>
      <c r="Y304" s="35"/>
      <c r="Z304" s="10"/>
      <c r="AA304" s="111"/>
    </row>
    <row r="305" spans="1:27" s="15" customFormat="1" ht="37.5" x14ac:dyDescent="0.3">
      <c r="A305" s="7">
        <v>304</v>
      </c>
      <c r="B305" s="61" t="s">
        <v>68</v>
      </c>
      <c r="C305" s="57"/>
      <c r="D305" s="57" t="s">
        <v>636</v>
      </c>
      <c r="E305" s="73" t="s">
        <v>135</v>
      </c>
      <c r="F305" s="10" t="s">
        <v>583</v>
      </c>
      <c r="G305" s="10" t="s">
        <v>8</v>
      </c>
      <c r="H305" s="9"/>
      <c r="I305" s="10" t="s">
        <v>583</v>
      </c>
      <c r="J305" s="10" t="s">
        <v>685</v>
      </c>
      <c r="K305" s="32" t="s">
        <v>1182</v>
      </c>
      <c r="L305" s="68"/>
      <c r="M305" s="68" t="s">
        <v>1416</v>
      </c>
      <c r="N305" s="69">
        <v>972324</v>
      </c>
      <c r="O305" s="17">
        <v>497541</v>
      </c>
      <c r="P305" s="35">
        <v>546108</v>
      </c>
      <c r="Q305" s="10"/>
      <c r="R305" s="10"/>
      <c r="S305" s="35"/>
      <c r="T305" s="35"/>
      <c r="U305" s="35"/>
      <c r="V305" s="35"/>
      <c r="W305" s="35"/>
      <c r="X305" s="35"/>
      <c r="Y305" s="35"/>
      <c r="Z305" s="10"/>
      <c r="AA305" s="111"/>
    </row>
    <row r="306" spans="1:27" s="15" customFormat="1" ht="37.5" x14ac:dyDescent="0.3">
      <c r="A306" s="7">
        <v>305</v>
      </c>
      <c r="B306" s="61" t="s">
        <v>68</v>
      </c>
      <c r="C306" s="57"/>
      <c r="D306" s="57" t="s">
        <v>636</v>
      </c>
      <c r="E306" s="73" t="s">
        <v>135</v>
      </c>
      <c r="F306" s="10" t="s">
        <v>584</v>
      </c>
      <c r="G306" s="10" t="s">
        <v>8</v>
      </c>
      <c r="H306" s="9"/>
      <c r="I306" s="10" t="s">
        <v>584</v>
      </c>
      <c r="J306" s="10" t="s">
        <v>808</v>
      </c>
      <c r="K306" s="32" t="s">
        <v>1183</v>
      </c>
      <c r="L306" s="68"/>
      <c r="M306" s="68" t="s">
        <v>1416</v>
      </c>
      <c r="N306" s="69">
        <v>6428</v>
      </c>
      <c r="O306" s="10"/>
      <c r="P306" s="35">
        <v>25713</v>
      </c>
      <c r="Q306" s="10"/>
      <c r="R306" s="10"/>
      <c r="S306" s="35"/>
      <c r="T306" s="35"/>
      <c r="U306" s="35"/>
      <c r="V306" s="35"/>
      <c r="W306" s="35"/>
      <c r="X306" s="35"/>
      <c r="Y306" s="35"/>
      <c r="Z306" s="10"/>
      <c r="AA306" s="111"/>
    </row>
    <row r="307" spans="1:27" s="15" customFormat="1" ht="37.5" x14ac:dyDescent="0.3">
      <c r="A307" s="7">
        <v>306</v>
      </c>
      <c r="B307" s="61" t="s">
        <v>68</v>
      </c>
      <c r="C307" s="57"/>
      <c r="D307" s="57" t="s">
        <v>636</v>
      </c>
      <c r="E307" s="73" t="s">
        <v>135</v>
      </c>
      <c r="F307" s="10" t="s">
        <v>585</v>
      </c>
      <c r="G307" s="10" t="s">
        <v>8</v>
      </c>
      <c r="H307" s="9"/>
      <c r="I307" s="10" t="s">
        <v>585</v>
      </c>
      <c r="J307" s="10" t="s">
        <v>809</v>
      </c>
      <c r="K307" s="32" t="s">
        <v>1184</v>
      </c>
      <c r="L307" s="68"/>
      <c r="M307" s="68"/>
      <c r="N307" s="68"/>
      <c r="O307" s="35"/>
      <c r="P307" s="35"/>
      <c r="Q307" s="10"/>
      <c r="R307" s="10"/>
      <c r="S307" s="35"/>
      <c r="T307" s="35"/>
      <c r="U307" s="35"/>
      <c r="V307" s="35"/>
      <c r="W307" s="35"/>
      <c r="X307" s="35"/>
      <c r="Y307" s="35"/>
      <c r="Z307" s="10"/>
      <c r="AA307" s="111"/>
    </row>
    <row r="308" spans="1:27" s="15" customFormat="1" ht="37.5" x14ac:dyDescent="0.3">
      <c r="A308" s="7">
        <v>307</v>
      </c>
      <c r="B308" s="61" t="s">
        <v>68</v>
      </c>
      <c r="C308" s="57"/>
      <c r="D308" s="57" t="s">
        <v>636</v>
      </c>
      <c r="E308" s="73" t="s">
        <v>135</v>
      </c>
      <c r="F308" s="10" t="s">
        <v>586</v>
      </c>
      <c r="G308" s="10" t="s">
        <v>8</v>
      </c>
      <c r="H308" s="9"/>
      <c r="I308" s="10" t="s">
        <v>586</v>
      </c>
      <c r="J308" s="10" t="s">
        <v>810</v>
      </c>
      <c r="K308" s="32" t="s">
        <v>1185</v>
      </c>
      <c r="L308" s="68"/>
      <c r="M308" s="68"/>
      <c r="N308" s="68"/>
      <c r="O308" s="35"/>
      <c r="P308" s="35"/>
      <c r="Q308" s="10"/>
      <c r="R308" s="10"/>
      <c r="S308" s="35"/>
      <c r="T308" s="35"/>
      <c r="U308" s="35"/>
      <c r="V308" s="35"/>
      <c r="W308" s="35"/>
      <c r="X308" s="35"/>
      <c r="Y308" s="35"/>
      <c r="Z308" s="10"/>
      <c r="AA308" s="111"/>
    </row>
    <row r="309" spans="1:27" s="15" customFormat="1" ht="37.5" x14ac:dyDescent="0.3">
      <c r="A309" s="7">
        <v>308</v>
      </c>
      <c r="B309" s="61" t="s">
        <v>68</v>
      </c>
      <c r="C309" s="57"/>
      <c r="D309" s="57" t="s">
        <v>636</v>
      </c>
      <c r="E309" s="73" t="s">
        <v>135</v>
      </c>
      <c r="F309" s="10" t="s">
        <v>587</v>
      </c>
      <c r="G309" s="10" t="s">
        <v>8</v>
      </c>
      <c r="H309" s="9"/>
      <c r="I309" s="10" t="s">
        <v>587</v>
      </c>
      <c r="J309" s="10" t="s">
        <v>812</v>
      </c>
      <c r="K309" s="32" t="s">
        <v>1186</v>
      </c>
      <c r="L309" s="68"/>
      <c r="M309" s="68"/>
      <c r="N309" s="68"/>
      <c r="O309" s="35"/>
      <c r="P309" s="35"/>
      <c r="Q309" s="10"/>
      <c r="R309" s="10"/>
      <c r="S309" s="35"/>
      <c r="T309" s="35"/>
      <c r="U309" s="35"/>
      <c r="V309" s="35"/>
      <c r="W309" s="35"/>
      <c r="X309" s="35"/>
      <c r="Y309" s="35"/>
      <c r="Z309" s="10"/>
      <c r="AA309" s="111"/>
    </row>
    <row r="310" spans="1:27" s="15" customFormat="1" ht="37.5" x14ac:dyDescent="0.3">
      <c r="A310" s="7">
        <v>309</v>
      </c>
      <c r="B310" s="61" t="s">
        <v>68</v>
      </c>
      <c r="C310" s="57"/>
      <c r="D310" s="57" t="s">
        <v>636</v>
      </c>
      <c r="E310" s="73" t="s">
        <v>135</v>
      </c>
      <c r="F310" s="10" t="s">
        <v>588</v>
      </c>
      <c r="G310" s="10" t="s">
        <v>8</v>
      </c>
      <c r="H310" s="9"/>
      <c r="I310" s="10" t="s">
        <v>588</v>
      </c>
      <c r="J310" s="10" t="s">
        <v>802</v>
      </c>
      <c r="K310" s="32" t="s">
        <v>1187</v>
      </c>
      <c r="L310" s="68"/>
      <c r="M310" s="68"/>
      <c r="N310" s="68"/>
      <c r="O310" s="35"/>
      <c r="P310" s="35"/>
      <c r="Q310" s="10"/>
      <c r="R310" s="10"/>
      <c r="S310" s="35"/>
      <c r="T310" s="35"/>
      <c r="U310" s="35"/>
      <c r="V310" s="35"/>
      <c r="W310" s="35"/>
      <c r="X310" s="35"/>
      <c r="Y310" s="35"/>
      <c r="Z310" s="10"/>
      <c r="AA310" s="111"/>
    </row>
    <row r="311" spans="1:27" s="15" customFormat="1" ht="37.5" x14ac:dyDescent="0.3">
      <c r="A311" s="7">
        <v>310</v>
      </c>
      <c r="B311" s="61" t="s">
        <v>68</v>
      </c>
      <c r="C311" s="57"/>
      <c r="D311" s="57" t="s">
        <v>636</v>
      </c>
      <c r="E311" s="73" t="s">
        <v>135</v>
      </c>
      <c r="F311" s="10" t="s">
        <v>589</v>
      </c>
      <c r="G311" s="10" t="s">
        <v>8</v>
      </c>
      <c r="H311" s="9"/>
      <c r="I311" s="10" t="s">
        <v>589</v>
      </c>
      <c r="J311" s="10" t="s">
        <v>804</v>
      </c>
      <c r="K311" s="32" t="s">
        <v>1188</v>
      </c>
      <c r="L311" s="68"/>
      <c r="M311" s="68"/>
      <c r="N311" s="68"/>
      <c r="O311" s="35"/>
      <c r="P311" s="35"/>
      <c r="Q311" s="10"/>
      <c r="R311" s="10"/>
      <c r="S311" s="35"/>
      <c r="T311" s="35"/>
      <c r="U311" s="35"/>
      <c r="V311" s="35"/>
      <c r="W311" s="35"/>
      <c r="X311" s="35"/>
      <c r="Y311" s="35"/>
      <c r="Z311" s="10"/>
      <c r="AA311" s="111"/>
    </row>
    <row r="312" spans="1:27" s="80" customFormat="1" ht="37.5" x14ac:dyDescent="0.3">
      <c r="A312" s="7">
        <v>311</v>
      </c>
      <c r="B312" s="91" t="s">
        <v>68</v>
      </c>
      <c r="C312" s="110" t="s">
        <v>623</v>
      </c>
      <c r="D312" s="110" t="s">
        <v>624</v>
      </c>
      <c r="E312" s="24" t="s">
        <v>135</v>
      </c>
      <c r="F312" s="74" t="s">
        <v>593</v>
      </c>
      <c r="G312" s="74" t="s">
        <v>8</v>
      </c>
      <c r="H312" s="74"/>
      <c r="I312" s="74" t="s">
        <v>593</v>
      </c>
      <c r="J312" s="74"/>
      <c r="K312" s="75" t="s">
        <v>1452</v>
      </c>
      <c r="L312" s="69">
        <v>1538611</v>
      </c>
      <c r="M312" s="69">
        <v>1855950</v>
      </c>
      <c r="N312" s="69">
        <v>2074721</v>
      </c>
      <c r="O312" s="17">
        <v>2180501</v>
      </c>
      <c r="P312" s="78" t="s">
        <v>1417</v>
      </c>
      <c r="Q312" s="74" t="s">
        <v>1417</v>
      </c>
      <c r="R312" s="74" t="s">
        <v>1417</v>
      </c>
      <c r="S312" s="78" t="s">
        <v>1417</v>
      </c>
      <c r="T312" s="78" t="s">
        <v>1417</v>
      </c>
      <c r="U312" s="78" t="s">
        <v>1417</v>
      </c>
      <c r="V312" s="78" t="s">
        <v>1417</v>
      </c>
      <c r="W312" s="78" t="s">
        <v>1417</v>
      </c>
      <c r="X312" s="78" t="s">
        <v>1417</v>
      </c>
      <c r="Y312" s="78" t="s">
        <v>1417</v>
      </c>
      <c r="Z312" s="74"/>
      <c r="AA312" s="74" t="s">
        <v>612</v>
      </c>
    </row>
    <row r="313" spans="1:27" s="80" customFormat="1" ht="37.5" x14ac:dyDescent="0.3">
      <c r="A313" s="7">
        <v>312</v>
      </c>
      <c r="B313" s="91" t="s">
        <v>68</v>
      </c>
      <c r="C313" s="110" t="s">
        <v>625</v>
      </c>
      <c r="D313" s="110" t="s">
        <v>624</v>
      </c>
      <c r="E313" s="24" t="s">
        <v>135</v>
      </c>
      <c r="F313" s="74" t="s">
        <v>594</v>
      </c>
      <c r="G313" s="74" t="s">
        <v>8</v>
      </c>
      <c r="H313" s="74"/>
      <c r="I313" s="74" t="s">
        <v>594</v>
      </c>
      <c r="J313" s="74"/>
      <c r="K313" s="75" t="s">
        <v>604</v>
      </c>
      <c r="L313" s="69">
        <v>1959325</v>
      </c>
      <c r="M313" s="69">
        <v>2651700</v>
      </c>
      <c r="N313" s="69">
        <v>2180501</v>
      </c>
      <c r="O313" s="17">
        <v>2447353</v>
      </c>
      <c r="P313" s="78" t="s">
        <v>1417</v>
      </c>
      <c r="Q313" s="74" t="s">
        <v>1417</v>
      </c>
      <c r="R313" s="74" t="s">
        <v>1417</v>
      </c>
      <c r="S313" s="78" t="s">
        <v>1417</v>
      </c>
      <c r="T313" s="78" t="s">
        <v>1417</v>
      </c>
      <c r="U313" s="78" t="s">
        <v>1417</v>
      </c>
      <c r="V313" s="78" t="s">
        <v>1417</v>
      </c>
      <c r="W313" s="78" t="s">
        <v>1417</v>
      </c>
      <c r="X313" s="78" t="s">
        <v>1417</v>
      </c>
      <c r="Y313" s="78" t="s">
        <v>1417</v>
      </c>
      <c r="Z313" s="74"/>
      <c r="AA313" s="74" t="s">
        <v>613</v>
      </c>
    </row>
    <row r="314" spans="1:27" s="80" customFormat="1" ht="37.5" x14ac:dyDescent="0.3">
      <c r="A314" s="7">
        <v>313</v>
      </c>
      <c r="B314" s="91" t="s">
        <v>68</v>
      </c>
      <c r="C314" s="110" t="s">
        <v>626</v>
      </c>
      <c r="D314" s="110" t="s">
        <v>624</v>
      </c>
      <c r="E314" s="24" t="s">
        <v>135</v>
      </c>
      <c r="F314" s="74" t="s">
        <v>595</v>
      </c>
      <c r="G314" s="74" t="s">
        <v>8</v>
      </c>
      <c r="H314" s="74"/>
      <c r="I314" s="74" t="s">
        <v>595</v>
      </c>
      <c r="J314" s="74"/>
      <c r="K314" s="75" t="s">
        <v>605</v>
      </c>
      <c r="L314" s="69">
        <v>1514570</v>
      </c>
      <c r="M314" s="69">
        <v>1766999</v>
      </c>
      <c r="N314" s="69">
        <v>2005003</v>
      </c>
      <c r="O314" s="17">
        <v>2105974</v>
      </c>
      <c r="P314" s="78" t="s">
        <v>1417</v>
      </c>
      <c r="Q314" s="74" t="s">
        <v>1417</v>
      </c>
      <c r="R314" s="74" t="s">
        <v>1417</v>
      </c>
      <c r="S314" s="78" t="s">
        <v>1417</v>
      </c>
      <c r="T314" s="78" t="s">
        <v>1417</v>
      </c>
      <c r="U314" s="78" t="s">
        <v>1417</v>
      </c>
      <c r="V314" s="78" t="s">
        <v>1417</v>
      </c>
      <c r="W314" s="78" t="s">
        <v>1417</v>
      </c>
      <c r="X314" s="78" t="s">
        <v>1417</v>
      </c>
      <c r="Y314" s="78" t="s">
        <v>1417</v>
      </c>
      <c r="Z314" s="74"/>
      <c r="AA314" s="74" t="s">
        <v>614</v>
      </c>
    </row>
    <row r="315" spans="1:27" s="80" customFormat="1" ht="37.5" x14ac:dyDescent="0.3">
      <c r="A315" s="7">
        <v>314</v>
      </c>
      <c r="B315" s="91" t="s">
        <v>68</v>
      </c>
      <c r="C315" s="110" t="s">
        <v>627</v>
      </c>
      <c r="D315" s="110" t="s">
        <v>624</v>
      </c>
      <c r="E315" s="24" t="s">
        <v>135</v>
      </c>
      <c r="F315" s="74" t="s">
        <v>596</v>
      </c>
      <c r="G315" s="74" t="s">
        <v>8</v>
      </c>
      <c r="H315" s="74"/>
      <c r="I315" s="74" t="s">
        <v>596</v>
      </c>
      <c r="J315" s="74"/>
      <c r="K315" s="75" t="s">
        <v>606</v>
      </c>
      <c r="L315" s="69">
        <v>2937786</v>
      </c>
      <c r="M315" s="69">
        <v>3509957</v>
      </c>
      <c r="N315" s="69">
        <v>3695071</v>
      </c>
      <c r="O315" s="17">
        <v>5293784</v>
      </c>
      <c r="P315" s="17">
        <v>5495727</v>
      </c>
      <c r="Q315" s="74" t="s">
        <v>1417</v>
      </c>
      <c r="R315" s="74" t="s">
        <v>1417</v>
      </c>
      <c r="S315" s="78" t="s">
        <v>1417</v>
      </c>
      <c r="T315" s="78" t="s">
        <v>1417</v>
      </c>
      <c r="U315" s="78" t="s">
        <v>1417</v>
      </c>
      <c r="V315" s="78" t="s">
        <v>1417</v>
      </c>
      <c r="W315" s="78" t="s">
        <v>1417</v>
      </c>
      <c r="X315" s="78" t="s">
        <v>1417</v>
      </c>
      <c r="Y315" s="78" t="s">
        <v>1417</v>
      </c>
      <c r="Z315" s="74"/>
      <c r="AA315" s="74" t="s">
        <v>615</v>
      </c>
    </row>
    <row r="316" spans="1:27" s="80" customFormat="1" ht="37.5" x14ac:dyDescent="0.3">
      <c r="A316" s="7">
        <v>315</v>
      </c>
      <c r="B316" s="91" t="s">
        <v>68</v>
      </c>
      <c r="C316" s="110" t="s">
        <v>628</v>
      </c>
      <c r="D316" s="110" t="s">
        <v>624</v>
      </c>
      <c r="E316" s="24" t="s">
        <v>135</v>
      </c>
      <c r="F316" s="74" t="s">
        <v>597</v>
      </c>
      <c r="G316" s="74" t="s">
        <v>8</v>
      </c>
      <c r="H316" s="74"/>
      <c r="I316" s="74" t="s">
        <v>597</v>
      </c>
      <c r="J316" s="74"/>
      <c r="K316" s="75" t="s">
        <v>607</v>
      </c>
      <c r="L316" s="69">
        <v>1673240</v>
      </c>
      <c r="M316" s="69">
        <v>2238198</v>
      </c>
      <c r="N316" s="69">
        <v>2170884</v>
      </c>
      <c r="O316" s="17">
        <v>2226178</v>
      </c>
      <c r="P316" s="78" t="s">
        <v>1417</v>
      </c>
      <c r="Q316" s="74" t="s">
        <v>1417</v>
      </c>
      <c r="R316" s="74" t="s">
        <v>1417</v>
      </c>
      <c r="S316" s="78" t="s">
        <v>1417</v>
      </c>
      <c r="T316" s="78" t="s">
        <v>1417</v>
      </c>
      <c r="U316" s="78" t="s">
        <v>1417</v>
      </c>
      <c r="V316" s="78" t="s">
        <v>1417</v>
      </c>
      <c r="W316" s="78" t="s">
        <v>1417</v>
      </c>
      <c r="X316" s="78" t="s">
        <v>1417</v>
      </c>
      <c r="Y316" s="78" t="s">
        <v>1417</v>
      </c>
      <c r="Z316" s="74"/>
      <c r="AA316" s="74" t="s">
        <v>616</v>
      </c>
    </row>
    <row r="317" spans="1:27" s="80" customFormat="1" ht="37.5" x14ac:dyDescent="0.3">
      <c r="A317" s="7">
        <v>316</v>
      </c>
      <c r="B317" s="91" t="s">
        <v>68</v>
      </c>
      <c r="C317" s="110" t="s">
        <v>629</v>
      </c>
      <c r="D317" s="110" t="s">
        <v>624</v>
      </c>
      <c r="E317" s="24" t="s">
        <v>135</v>
      </c>
      <c r="F317" s="74" t="s">
        <v>598</v>
      </c>
      <c r="G317" s="74" t="s">
        <v>8</v>
      </c>
      <c r="H317" s="74"/>
      <c r="I317" s="74" t="s">
        <v>598</v>
      </c>
      <c r="J317" s="74"/>
      <c r="K317" s="75" t="s">
        <v>608</v>
      </c>
      <c r="L317" s="69">
        <v>990481</v>
      </c>
      <c r="M317" s="69">
        <v>1548228</v>
      </c>
      <c r="N317" s="69">
        <v>1598713</v>
      </c>
      <c r="O317" s="17">
        <v>1610734</v>
      </c>
      <c r="P317" s="78" t="s">
        <v>1417</v>
      </c>
      <c r="Q317" s="74" t="s">
        <v>1417</v>
      </c>
      <c r="R317" s="74" t="s">
        <v>1417</v>
      </c>
      <c r="S317" s="78" t="s">
        <v>1417</v>
      </c>
      <c r="T317" s="78" t="s">
        <v>1417</v>
      </c>
      <c r="U317" s="78" t="s">
        <v>1417</v>
      </c>
      <c r="V317" s="78" t="s">
        <v>1417</v>
      </c>
      <c r="W317" s="78" t="s">
        <v>1417</v>
      </c>
      <c r="X317" s="78" t="s">
        <v>1417</v>
      </c>
      <c r="Y317" s="78" t="s">
        <v>1417</v>
      </c>
      <c r="Z317" s="74"/>
      <c r="AA317" s="74" t="s">
        <v>617</v>
      </c>
    </row>
    <row r="318" spans="1:27" s="80" customFormat="1" ht="37.5" x14ac:dyDescent="0.3">
      <c r="A318" s="7">
        <v>317</v>
      </c>
      <c r="B318" s="91" t="s">
        <v>68</v>
      </c>
      <c r="C318" s="110" t="s">
        <v>630</v>
      </c>
      <c r="D318" s="110" t="s">
        <v>624</v>
      </c>
      <c r="E318" s="24" t="s">
        <v>135</v>
      </c>
      <c r="F318" s="74" t="s">
        <v>599</v>
      </c>
      <c r="G318" s="74" t="s">
        <v>8</v>
      </c>
      <c r="H318" s="74"/>
      <c r="I318" s="74" t="s">
        <v>599</v>
      </c>
      <c r="J318" s="74"/>
      <c r="K318" s="75" t="s">
        <v>609</v>
      </c>
      <c r="L318" s="69">
        <v>1714109</v>
      </c>
      <c r="M318" s="69">
        <v>2490627</v>
      </c>
      <c r="N318" s="69">
        <v>4550923</v>
      </c>
      <c r="O318" s="78" t="s">
        <v>1417</v>
      </c>
      <c r="P318" s="78" t="s">
        <v>1417</v>
      </c>
      <c r="Q318" s="74" t="s">
        <v>1417</v>
      </c>
      <c r="R318" s="74" t="s">
        <v>1417</v>
      </c>
      <c r="S318" s="78" t="s">
        <v>1417</v>
      </c>
      <c r="T318" s="78" t="s">
        <v>1417</v>
      </c>
      <c r="U318" s="78" t="s">
        <v>1417</v>
      </c>
      <c r="V318" s="78" t="s">
        <v>1417</v>
      </c>
      <c r="W318" s="78" t="s">
        <v>1417</v>
      </c>
      <c r="X318" s="78" t="s">
        <v>1417</v>
      </c>
      <c r="Y318" s="78" t="s">
        <v>1417</v>
      </c>
      <c r="Z318" s="74"/>
      <c r="AA318" s="74" t="s">
        <v>618</v>
      </c>
    </row>
    <row r="319" spans="1:27" s="80" customFormat="1" ht="37.5" x14ac:dyDescent="0.3">
      <c r="A319" s="7">
        <v>318</v>
      </c>
      <c r="B319" s="91" t="s">
        <v>68</v>
      </c>
      <c r="C319" s="110" t="s">
        <v>631</v>
      </c>
      <c r="D319" s="110" t="s">
        <v>624</v>
      </c>
      <c r="E319" s="24" t="s">
        <v>135</v>
      </c>
      <c r="F319" s="74" t="s">
        <v>600</v>
      </c>
      <c r="G319" s="74" t="s">
        <v>8</v>
      </c>
      <c r="H319" s="74"/>
      <c r="I319" s="74" t="s">
        <v>600</v>
      </c>
      <c r="J319" s="74"/>
      <c r="K319" s="75" t="s">
        <v>610</v>
      </c>
      <c r="L319" s="69">
        <v>1884799</v>
      </c>
      <c r="M319" s="69">
        <v>2168480</v>
      </c>
      <c r="N319" s="69">
        <v>3880185</v>
      </c>
      <c r="O319" s="17">
        <v>216367</v>
      </c>
      <c r="P319" s="78" t="s">
        <v>1417</v>
      </c>
      <c r="Q319" s="74" t="s">
        <v>1417</v>
      </c>
      <c r="R319" s="74" t="s">
        <v>1417</v>
      </c>
      <c r="S319" s="78" t="s">
        <v>1417</v>
      </c>
      <c r="T319" s="78" t="s">
        <v>1417</v>
      </c>
      <c r="U319" s="78" t="s">
        <v>1417</v>
      </c>
      <c r="V319" s="78" t="s">
        <v>1417</v>
      </c>
      <c r="W319" s="78" t="s">
        <v>1417</v>
      </c>
      <c r="X319" s="78" t="s">
        <v>1417</v>
      </c>
      <c r="Y319" s="78" t="s">
        <v>1417</v>
      </c>
      <c r="Z319" s="74"/>
      <c r="AA319" s="74" t="s">
        <v>619</v>
      </c>
    </row>
    <row r="320" spans="1:27" s="80" customFormat="1" ht="37.5" x14ac:dyDescent="0.3">
      <c r="A320" s="7">
        <v>319</v>
      </c>
      <c r="B320" s="91" t="s">
        <v>68</v>
      </c>
      <c r="C320" s="110" t="s">
        <v>632</v>
      </c>
      <c r="D320" s="110" t="s">
        <v>624</v>
      </c>
      <c r="E320" s="24" t="s">
        <v>135</v>
      </c>
      <c r="F320" s="74" t="s">
        <v>601</v>
      </c>
      <c r="G320" s="74" t="s">
        <v>8</v>
      </c>
      <c r="H320" s="74"/>
      <c r="I320" s="74" t="s">
        <v>601</v>
      </c>
      <c r="J320" s="74"/>
      <c r="K320" s="75" t="s">
        <v>1440</v>
      </c>
      <c r="L320" s="69">
        <v>1240505</v>
      </c>
      <c r="M320" s="69">
        <v>1447256</v>
      </c>
      <c r="N320" s="69">
        <v>1339073</v>
      </c>
      <c r="O320" s="17">
        <v>1327052</v>
      </c>
      <c r="P320" s="17">
        <v>2471394</v>
      </c>
      <c r="Q320" s="74" t="s">
        <v>1417</v>
      </c>
      <c r="R320" s="74" t="s">
        <v>1417</v>
      </c>
      <c r="S320" s="78" t="s">
        <v>1417</v>
      </c>
      <c r="T320" s="78" t="s">
        <v>1417</v>
      </c>
      <c r="U320" s="78"/>
      <c r="V320" s="78" t="s">
        <v>1417</v>
      </c>
      <c r="W320" s="78" t="s">
        <v>1417</v>
      </c>
      <c r="X320" s="78" t="s">
        <v>1417</v>
      </c>
      <c r="Y320" s="78" t="s">
        <v>1417</v>
      </c>
      <c r="Z320" s="74"/>
      <c r="AA320" s="74" t="s">
        <v>620</v>
      </c>
    </row>
    <row r="321" spans="1:27" s="80" customFormat="1" ht="37.5" x14ac:dyDescent="0.3">
      <c r="A321" s="7">
        <v>320</v>
      </c>
      <c r="B321" s="91" t="s">
        <v>68</v>
      </c>
      <c r="C321" s="110" t="s">
        <v>633</v>
      </c>
      <c r="D321" s="110" t="s">
        <v>624</v>
      </c>
      <c r="E321" s="24" t="s">
        <v>135</v>
      </c>
      <c r="F321" s="74" t="s">
        <v>602</v>
      </c>
      <c r="G321" s="74" t="s">
        <v>8</v>
      </c>
      <c r="H321" s="74"/>
      <c r="I321" s="74" t="s">
        <v>602</v>
      </c>
      <c r="J321" s="74"/>
      <c r="K321" s="75" t="s">
        <v>1441</v>
      </c>
      <c r="L321" s="69">
        <v>1346285</v>
      </c>
      <c r="M321" s="69">
        <v>2142035</v>
      </c>
      <c r="N321" s="69">
        <v>1985770</v>
      </c>
      <c r="O321" s="17">
        <v>1990578</v>
      </c>
      <c r="P321" s="17">
        <v>3928267</v>
      </c>
      <c r="Q321" s="74" t="s">
        <v>1417</v>
      </c>
      <c r="R321" s="74" t="s">
        <v>1417</v>
      </c>
      <c r="S321" s="78" t="s">
        <v>1417</v>
      </c>
      <c r="T321" s="78" t="s">
        <v>1417</v>
      </c>
      <c r="U321" s="78" t="s">
        <v>1417</v>
      </c>
      <c r="V321" s="78" t="s">
        <v>1417</v>
      </c>
      <c r="W321" s="78" t="s">
        <v>1417</v>
      </c>
      <c r="X321" s="78" t="s">
        <v>1417</v>
      </c>
      <c r="Y321" s="78" t="s">
        <v>1417</v>
      </c>
      <c r="Z321" s="74"/>
      <c r="AA321" s="74" t="s">
        <v>621</v>
      </c>
    </row>
    <row r="322" spans="1:27" s="80" customFormat="1" ht="37.5" x14ac:dyDescent="0.3">
      <c r="A322" s="7">
        <v>321</v>
      </c>
      <c r="B322" s="91" t="s">
        <v>68</v>
      </c>
      <c r="C322" s="110" t="s">
        <v>634</v>
      </c>
      <c r="D322" s="110" t="s">
        <v>624</v>
      </c>
      <c r="E322" s="24" t="s">
        <v>135</v>
      </c>
      <c r="F322" s="74" t="s">
        <v>603</v>
      </c>
      <c r="G322" s="74" t="s">
        <v>8</v>
      </c>
      <c r="H322" s="74"/>
      <c r="I322" s="74" t="s">
        <v>603</v>
      </c>
      <c r="J322" s="74"/>
      <c r="K322" s="75" t="s">
        <v>611</v>
      </c>
      <c r="L322" s="69">
        <v>1238101</v>
      </c>
      <c r="M322" s="69">
        <v>1432832</v>
      </c>
      <c r="N322" s="69">
        <v>1634774</v>
      </c>
      <c r="O322" s="17">
        <v>2218966</v>
      </c>
      <c r="P322" s="78" t="s">
        <v>1417</v>
      </c>
      <c r="Q322" s="74" t="s">
        <v>1417</v>
      </c>
      <c r="R322" s="74" t="s">
        <v>1417</v>
      </c>
      <c r="S322" s="78" t="s">
        <v>1417</v>
      </c>
      <c r="T322" s="78" t="s">
        <v>1417</v>
      </c>
      <c r="U322" s="78" t="s">
        <v>1417</v>
      </c>
      <c r="V322" s="78" t="s">
        <v>1417</v>
      </c>
      <c r="W322" s="78" t="s">
        <v>1417</v>
      </c>
      <c r="X322" s="78" t="s">
        <v>1417</v>
      </c>
      <c r="Y322" s="78" t="s">
        <v>1417</v>
      </c>
      <c r="Z322" s="74"/>
      <c r="AA322" s="74" t="s">
        <v>622</v>
      </c>
    </row>
    <row r="323" spans="1:27" s="80" customFormat="1" x14ac:dyDescent="0.3">
      <c r="A323" s="7">
        <v>322</v>
      </c>
      <c r="B323" s="74"/>
      <c r="C323" s="74"/>
      <c r="D323" s="89"/>
      <c r="E323" s="24" t="s">
        <v>135</v>
      </c>
      <c r="F323" s="102" t="s">
        <v>1460</v>
      </c>
      <c r="G323" s="74" t="s">
        <v>8</v>
      </c>
      <c r="H323" s="74"/>
      <c r="I323" s="102" t="s">
        <v>1460</v>
      </c>
      <c r="J323" s="74"/>
      <c r="K323" s="75" t="s">
        <v>1466</v>
      </c>
      <c r="L323" s="76"/>
      <c r="M323" s="76"/>
      <c r="N323" s="103"/>
      <c r="O323" s="74"/>
      <c r="P323" s="74"/>
      <c r="Q323" s="74"/>
      <c r="R323" s="74"/>
      <c r="S323" s="78"/>
      <c r="T323" s="78"/>
      <c r="U323" s="78"/>
      <c r="V323" s="78"/>
      <c r="W323" s="78"/>
      <c r="X323" s="78"/>
      <c r="Y323" s="78"/>
      <c r="Z323" s="74"/>
      <c r="AA323" s="79" t="s">
        <v>1467</v>
      </c>
    </row>
    <row r="324" spans="1:27" s="80" customFormat="1" x14ac:dyDescent="0.3">
      <c r="A324" s="7">
        <v>323</v>
      </c>
      <c r="B324" s="74"/>
      <c r="C324" s="74"/>
      <c r="D324" s="89"/>
      <c r="E324" s="24" t="s">
        <v>135</v>
      </c>
      <c r="F324" s="102" t="s">
        <v>1461</v>
      </c>
      <c r="G324" s="74" t="s">
        <v>8</v>
      </c>
      <c r="H324" s="74"/>
      <c r="I324" s="102" t="s">
        <v>1461</v>
      </c>
      <c r="J324" s="74"/>
      <c r="K324" s="75" t="s">
        <v>1468</v>
      </c>
      <c r="L324" s="76"/>
      <c r="M324" s="104"/>
      <c r="N324" s="103"/>
      <c r="O324" s="74"/>
      <c r="P324" s="74"/>
      <c r="Q324" s="74"/>
      <c r="R324" s="74"/>
      <c r="S324" s="78"/>
      <c r="T324" s="78"/>
      <c r="U324" s="78"/>
      <c r="V324" s="78"/>
      <c r="W324" s="78"/>
      <c r="X324" s="78"/>
      <c r="Y324" s="78"/>
      <c r="Z324" s="74"/>
      <c r="AA324" s="79" t="s">
        <v>1469</v>
      </c>
    </row>
    <row r="325" spans="1:27" s="80" customFormat="1" x14ac:dyDescent="0.3">
      <c r="A325" s="7">
        <v>324</v>
      </c>
      <c r="B325" s="74"/>
      <c r="C325" s="74"/>
      <c r="D325" s="89"/>
      <c r="E325" s="24" t="s">
        <v>135</v>
      </c>
      <c r="F325" s="102" t="s">
        <v>1462</v>
      </c>
      <c r="G325" s="74" t="s">
        <v>8</v>
      </c>
      <c r="H325" s="74"/>
      <c r="I325" s="102" t="s">
        <v>1462</v>
      </c>
      <c r="J325" s="74"/>
      <c r="K325" s="75" t="s">
        <v>1470</v>
      </c>
      <c r="L325" s="76"/>
      <c r="M325" s="103"/>
      <c r="N325" s="103"/>
      <c r="O325" s="74"/>
      <c r="P325" s="74"/>
      <c r="Q325" s="74"/>
      <c r="R325" s="74"/>
      <c r="S325" s="78"/>
      <c r="T325" s="78"/>
      <c r="U325" s="78"/>
      <c r="V325" s="78"/>
      <c r="W325" s="78"/>
      <c r="X325" s="78"/>
      <c r="Y325" s="78"/>
      <c r="Z325" s="74"/>
      <c r="AA325" s="79" t="s">
        <v>1471</v>
      </c>
    </row>
    <row r="326" spans="1:27" s="80" customFormat="1" x14ac:dyDescent="0.3">
      <c r="A326" s="7">
        <v>325</v>
      </c>
      <c r="B326" s="74"/>
      <c r="C326" s="74"/>
      <c r="D326" s="89"/>
      <c r="E326" s="24" t="s">
        <v>135</v>
      </c>
      <c r="F326" s="102" t="s">
        <v>1463</v>
      </c>
      <c r="G326" s="74" t="s">
        <v>8</v>
      </c>
      <c r="H326" s="74"/>
      <c r="I326" s="102" t="s">
        <v>1463</v>
      </c>
      <c r="J326" s="74"/>
      <c r="K326" s="75" t="s">
        <v>1472</v>
      </c>
      <c r="L326" s="76"/>
      <c r="M326" s="104"/>
      <c r="N326" s="103"/>
      <c r="O326" s="74"/>
      <c r="P326" s="74"/>
      <c r="Q326" s="74"/>
      <c r="R326" s="74"/>
      <c r="S326" s="78"/>
      <c r="T326" s="78"/>
      <c r="U326" s="78"/>
      <c r="V326" s="78"/>
      <c r="W326" s="78"/>
      <c r="X326" s="78"/>
      <c r="Y326" s="78"/>
      <c r="Z326" s="74"/>
      <c r="AA326" s="79" t="s">
        <v>1473</v>
      </c>
    </row>
    <row r="327" spans="1:27" s="80" customFormat="1" x14ac:dyDescent="0.3">
      <c r="A327" s="7">
        <v>326</v>
      </c>
      <c r="B327" s="74"/>
      <c r="C327" s="74"/>
      <c r="D327" s="89"/>
      <c r="E327" s="24" t="s">
        <v>135</v>
      </c>
      <c r="F327" s="102" t="s">
        <v>1464</v>
      </c>
      <c r="G327" s="74" t="s">
        <v>8</v>
      </c>
      <c r="H327" s="74"/>
      <c r="I327" s="102" t="s">
        <v>1464</v>
      </c>
      <c r="J327" s="74"/>
      <c r="K327" s="75" t="s">
        <v>1475</v>
      </c>
      <c r="L327" s="76"/>
      <c r="M327" s="104"/>
      <c r="N327" s="103"/>
      <c r="O327" s="74"/>
      <c r="P327" s="74"/>
      <c r="Q327" s="74"/>
      <c r="R327" s="74"/>
      <c r="S327" s="78"/>
      <c r="T327" s="78"/>
      <c r="U327" s="78"/>
      <c r="V327" s="78"/>
      <c r="W327" s="78"/>
      <c r="X327" s="78"/>
      <c r="Y327" s="78"/>
      <c r="Z327" s="74"/>
      <c r="AA327" s="79" t="s">
        <v>1474</v>
      </c>
    </row>
    <row r="328" spans="1:27" s="80" customFormat="1" x14ac:dyDescent="0.3">
      <c r="A328" s="7">
        <v>327</v>
      </c>
      <c r="B328" s="74"/>
      <c r="C328" s="74"/>
      <c r="D328" s="89"/>
      <c r="E328" s="24" t="s">
        <v>135</v>
      </c>
      <c r="F328" s="102" t="s">
        <v>1465</v>
      </c>
      <c r="G328" s="74" t="s">
        <v>8</v>
      </c>
      <c r="H328" s="74"/>
      <c r="I328" s="102" t="s">
        <v>1465</v>
      </c>
      <c r="J328" s="74"/>
      <c r="K328" s="75" t="s">
        <v>1477</v>
      </c>
      <c r="L328" s="76"/>
      <c r="M328" s="104"/>
      <c r="N328" s="103"/>
      <c r="O328" s="74"/>
      <c r="P328" s="74"/>
      <c r="Q328" s="74"/>
      <c r="R328" s="74"/>
      <c r="S328" s="78"/>
      <c r="T328" s="78"/>
      <c r="U328" s="78"/>
      <c r="V328" s="78"/>
      <c r="W328" s="78"/>
      <c r="X328" s="78"/>
      <c r="Y328" s="78"/>
      <c r="Z328" s="74"/>
      <c r="AA328" s="113" t="s">
        <v>1476</v>
      </c>
    </row>
    <row r="329" spans="1:27" s="80" customFormat="1" x14ac:dyDescent="0.3">
      <c r="A329" s="7">
        <v>328</v>
      </c>
      <c r="B329" s="74"/>
      <c r="C329" s="74"/>
      <c r="D329" s="89"/>
      <c r="E329" s="24" t="s">
        <v>135</v>
      </c>
      <c r="F329" s="102" t="s">
        <v>1479</v>
      </c>
      <c r="G329" s="74" t="s">
        <v>8</v>
      </c>
      <c r="H329" s="74"/>
      <c r="I329" s="102" t="s">
        <v>1479</v>
      </c>
      <c r="J329" s="74"/>
      <c r="K329" s="75" t="s">
        <v>1478</v>
      </c>
      <c r="L329" s="76"/>
      <c r="M329" s="104"/>
      <c r="N329" s="103"/>
      <c r="O329" s="74"/>
      <c r="P329" s="74"/>
      <c r="Q329" s="74"/>
      <c r="R329" s="74"/>
      <c r="S329" s="78"/>
      <c r="T329" s="78"/>
      <c r="U329" s="78"/>
      <c r="V329" s="78"/>
      <c r="W329" s="78"/>
      <c r="X329" s="78"/>
      <c r="Y329" s="78"/>
      <c r="Z329" s="74"/>
      <c r="AA329" s="113" t="s">
        <v>1480</v>
      </c>
    </row>
    <row r="330" spans="1:27" x14ac:dyDescent="0.3">
      <c r="L330" s="71">
        <f>SUMIF(E2:E329,"P.KD",L2:L329)</f>
        <v>175496122</v>
      </c>
      <c r="M330" s="71"/>
    </row>
    <row r="331" spans="1:27" x14ac:dyDescent="0.3">
      <c r="M331" s="71"/>
    </row>
  </sheetData>
  <phoneticPr fontId="6" type="noConversion"/>
  <pageMargins left="0.7" right="0.7" top="0.75" bottom="0.75" header="0.3" footer="0.3"/>
  <pageSetup paperSize="8" scale="37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Tam Phan</cp:lastModifiedBy>
  <cp:lastPrinted>2024-09-27T02:56:27Z</cp:lastPrinted>
  <dcterms:created xsi:type="dcterms:W3CDTF">2024-01-04T02:12:18Z</dcterms:created>
  <dcterms:modified xsi:type="dcterms:W3CDTF">2026-03-21T10:42:43Z</dcterms:modified>
</cp:coreProperties>
</file>